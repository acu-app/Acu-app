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queryTables/queryTable1.xml" ContentType="application/vnd.openxmlformats-officedocument.spreadsheetml.queryTable+xml"/>
  <Override PartName="/xl/tables/table5.xml" ContentType="application/vnd.openxmlformats-officedocument.spreadsheetml.table+xml"/>
  <Override PartName="/xl/queryTables/queryTable2.xml" ContentType="application/vnd.openxmlformats-officedocument.spreadsheetml.queryTable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 hidePivotFieldList="1"/>
  <mc:AlternateContent xmlns:mc="http://schemas.openxmlformats.org/markup-compatibility/2006">
    <mc:Choice Requires="x15">
      <x15ac:absPath xmlns:x15ac="http://schemas.microsoft.com/office/spreadsheetml/2010/11/ac" url="/Users/marcosdelgui/Desktop/reporte_finanzas/"/>
    </mc:Choice>
  </mc:AlternateContent>
  <xr:revisionPtr revIDLastSave="0" documentId="13_ncr:1_{199B9E96-AB76-E343-A776-B756683F6D28}" xr6:coauthVersionLast="47" xr6:coauthVersionMax="47" xr10:uidLastSave="{00000000-0000-0000-0000-000000000000}"/>
  <bookViews>
    <workbookView xWindow="0" yWindow="660" windowWidth="30240" windowHeight="18980" activeTab="2" xr2:uid="{4A9E9EB7-079C-C44A-BD24-FC93F2CE1CC9}"/>
  </bookViews>
  <sheets>
    <sheet name="InputActivos" sheetId="1" r:id="rId1"/>
    <sheet name="Resumen" sheetId="10" r:id="rId2"/>
    <sheet name="PerfilCliente" sheetId="9" r:id="rId3"/>
    <sheet name="Parametros" sheetId="8" r:id="rId4"/>
    <sheet name="WB_PBI" sheetId="6" r:id="rId5"/>
    <sheet name="FP CPI TOTL" sheetId="5" r:id="rId6"/>
    <sheet name="Tablas" sheetId="4" r:id="rId7"/>
    <sheet name="Score diversificacion" sheetId="2" r:id="rId8"/>
  </sheets>
  <definedNames>
    <definedName name="DatosExternos_1" localSheetId="5" hidden="1">'FP CPI TOTL'!$A$1:$E$4</definedName>
    <definedName name="DatosExternos_2" localSheetId="4" hidden="1">WB_PBI!$A$1:$D$10</definedName>
  </definedNames>
  <calcPr calcId="191029"/>
  <pivotCaches>
    <pivotCache cacheId="25" r:id="rId9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" i="10" l="1"/>
  <c r="M3" i="1"/>
  <c r="M2" i="1"/>
  <c r="K3" i="10" s="1"/>
  <c r="M4" i="1"/>
  <c r="B6" i="10" s="1"/>
  <c r="M5" i="1"/>
  <c r="M6" i="1"/>
  <c r="M7" i="1"/>
  <c r="B5" i="10" s="1"/>
  <c r="I3" i="1"/>
  <c r="I2" i="1"/>
  <c r="I4" i="1"/>
  <c r="I5" i="1"/>
  <c r="J5" i="1" s="1"/>
  <c r="K5" i="1" s="1"/>
  <c r="I6" i="1"/>
  <c r="I7" i="1"/>
  <c r="H3" i="1"/>
  <c r="H2" i="1"/>
  <c r="H4" i="1"/>
  <c r="H5" i="1"/>
  <c r="H6" i="1"/>
  <c r="H7" i="1"/>
  <c r="H2" i="5"/>
  <c r="H3" i="5"/>
  <c r="H4" i="5"/>
  <c r="G2" i="5"/>
  <c r="G3" i="5"/>
  <c r="G4" i="5"/>
  <c r="F2" i="5"/>
  <c r="F3" i="5"/>
  <c r="F4" i="5"/>
  <c r="B4" i="2"/>
  <c r="D4" i="2" s="1"/>
  <c r="B3" i="2"/>
  <c r="D3" i="2" s="1"/>
  <c r="D12" i="4"/>
  <c r="D4" i="4"/>
  <c r="K5" i="10" l="1" a="1"/>
  <c r="K5" i="10" s="1"/>
  <c r="M8" i="1"/>
  <c r="J4" i="1"/>
  <c r="K4" i="1" s="1"/>
  <c r="J2" i="1"/>
  <c r="K2" i="1" s="1"/>
  <c r="B7" i="10"/>
  <c r="J3" i="1"/>
  <c r="K3" i="1" s="1"/>
  <c r="L3" i="1" s="1"/>
  <c r="K2" i="10"/>
  <c r="K4" i="10"/>
  <c r="B4" i="10"/>
  <c r="K6" i="10"/>
  <c r="L2" i="1"/>
  <c r="J7" i="1"/>
  <c r="K7" i="1" s="1"/>
  <c r="J6" i="1"/>
  <c r="K6" i="1" s="1"/>
  <c r="L6" i="1" s="1"/>
  <c r="L7" i="1"/>
  <c r="L4" i="1"/>
  <c r="L5" i="1"/>
  <c r="B1" i="2"/>
  <c r="D1" i="2" s="1"/>
  <c r="B2" i="2"/>
  <c r="D2" i="2" s="1"/>
  <c r="B3" i="10" l="1"/>
  <c r="B2" i="10"/>
  <c r="D5" i="2"/>
  <c r="D7" i="2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ECEED9AA-142B-44DD-B480-0107EFE19642}" keepAlive="1" name="Consulta - FP CPI TOTL" description="Conexión a la consulta 'FP CPI TOTL' en el libro." type="5" refreshedVersion="7" background="1" saveData="1">
    <dbPr connection="Provider=Microsoft.Mashup.OleDb.1;Data Source=$Workbook$;Location=&quot;FP CPI TOTL&quot;;Extended Properties=&quot;&quot;" command="SELECT * FROM [FP CPI TOTL]"/>
  </connection>
  <connection id="2" xr16:uid="{5F28D131-BFA8-488D-93DF-6217FB1912E7}" keepAlive="1" name="Consulta - WB_PBI" description="Conexión a la consulta 'WB_PBI' en el libro." type="5" refreshedVersion="7" background="1" saveData="1">
    <dbPr connection="Provider=Microsoft.Mashup.OleDb.1;Data Source=$Workbook$;Location=WB_PBI;Extended Properties=&quot;&quot;" command="SELECT * FROM [WB_PBI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<sst xmlns="http://schemas.openxmlformats.org/spreadsheetml/2006/main" count="152" uniqueCount="93">
  <si>
    <t>Activo</t>
  </si>
  <si>
    <t>Tipo</t>
  </si>
  <si>
    <t>Moneda</t>
  </si>
  <si>
    <t>Custodio</t>
  </si>
  <si>
    <t>Valor en USD</t>
  </si>
  <si>
    <t>ETF SP500</t>
  </si>
  <si>
    <t>ETF</t>
  </si>
  <si>
    <t>USA</t>
  </si>
  <si>
    <t>USD</t>
  </si>
  <si>
    <t>IBKR</t>
  </si>
  <si>
    <t>Dept Palermo</t>
  </si>
  <si>
    <t>Inmueble</t>
  </si>
  <si>
    <t>Argentina</t>
  </si>
  <si>
    <t>Personal</t>
  </si>
  <si>
    <t>AL30</t>
  </si>
  <si>
    <t>Renta fija</t>
  </si>
  <si>
    <t>Banco Galicia</t>
  </si>
  <si>
    <t>Cash USD</t>
  </si>
  <si>
    <t>Cash</t>
  </si>
  <si>
    <t>Banco USA</t>
  </si>
  <si>
    <t>Etiquetas de fila</t>
  </si>
  <si>
    <t>Total general</t>
  </si>
  <si>
    <t>Suma de Valor en USD</t>
  </si>
  <si>
    <t>Indice de concentración</t>
  </si>
  <si>
    <t>Herfindahl País</t>
  </si>
  <si>
    <t>Herfindahl Tipo</t>
  </si>
  <si>
    <t>Mayor % en un país</t>
  </si>
  <si>
    <t>Mayor % en tipo</t>
  </si>
  <si>
    <t>Penalidad país</t>
  </si>
  <si>
    <t>Penalidad tipo</t>
  </si>
  <si>
    <t>Penalidad concentración país extrema</t>
  </si>
  <si>
    <t>Penalidad concentración tipo extrema</t>
  </si>
  <si>
    <t>Score Final</t>
  </si>
  <si>
    <t>Score final de diversificación</t>
  </si>
  <si>
    <t xml:space="preserve">Cash pesos </t>
  </si>
  <si>
    <t>Pesos Arg</t>
  </si>
  <si>
    <t>Acciones Nvidia</t>
  </si>
  <si>
    <t>Acciones</t>
  </si>
  <si>
    <t>Pais</t>
  </si>
  <si>
    <t>ISO</t>
  </si>
  <si>
    <t>Año</t>
  </si>
  <si>
    <t>Inflacion</t>
  </si>
  <si>
    <t>ARG</t>
  </si>
  <si>
    <t>United States</t>
  </si>
  <si>
    <t>Uruguay</t>
  </si>
  <si>
    <t>URY</t>
  </si>
  <si>
    <t>Queremos responder:</t>
  </si>
  <si>
    <t>¿Qué tan estable / invertible es el entorno macro de este país hoy?</t>
  </si>
  <si>
    <t>Estás armando una herramienta interna donde cada país tiene un “context score” (un puntaje de estabilidad macro) usando datos objetivos (World Bank).</t>
  </si>
  <si>
    <t>Después, como cada activo de la cartera “vive” en un país, podés:</t>
  </si>
  <si>
    <t>ver cuánta plata está expuesta a países frágiles</t>
  </si>
  <si>
    <t>comparar carteras entre clientes con un criterio común</t>
  </si>
  <si>
    <t>justificar decisiones (“no es opinión: es contexto macro medido”)</t>
  </si>
  <si>
    <t>Hoy ya traés inflación.</t>
  </si>
  <si>
    <t>El Paso 1 ahora es traer crecimiento del PBI y dejarlo listo en una tabla igual que inflación.</t>
  </si>
  <si>
    <t>CrecimientoPBI</t>
  </si>
  <si>
    <t>Score Inflacion</t>
  </si>
  <si>
    <t>Score Pbi</t>
  </si>
  <si>
    <t>ScoreActivoFinal</t>
  </si>
  <si>
    <t>ScoreVolatilidad</t>
  </si>
  <si>
    <t>CountryContextScore</t>
  </si>
  <si>
    <t>Country_Context</t>
  </si>
  <si>
    <t>TipoActivo</t>
  </si>
  <si>
    <t>VolBase</t>
  </si>
  <si>
    <t>Bono</t>
  </si>
  <si>
    <t>PlazoFijo</t>
  </si>
  <si>
    <t>VolatilidadBase</t>
  </si>
  <si>
    <t>Renta Fija</t>
  </si>
  <si>
    <t>VolatilidadFinal</t>
  </si>
  <si>
    <t>Valor</t>
  </si>
  <si>
    <t>Nombre</t>
  </si>
  <si>
    <t>PerfilRiesgo</t>
  </si>
  <si>
    <t>Objetivo</t>
  </si>
  <si>
    <t>CapitalInvertido</t>
  </si>
  <si>
    <t>MonedaBase</t>
  </si>
  <si>
    <t>Métrica</t>
  </si>
  <si>
    <t>ScorePromedioCartera</t>
  </si>
  <si>
    <t>VolPromedioCartera</t>
  </si>
  <si>
    <t>ExposicionARG</t>
  </si>
  <si>
    <t>ExposicionUSA</t>
  </si>
  <si>
    <t>PorcAcciones</t>
  </si>
  <si>
    <t>PorcRentaFija</t>
  </si>
  <si>
    <t>PorcCash</t>
  </si>
  <si>
    <t>Peso</t>
  </si>
  <si>
    <t>PorcInmueble</t>
  </si>
  <si>
    <t>PorcETF</t>
  </si>
  <si>
    <t>ConcenctracionTop3</t>
  </si>
  <si>
    <t>Índice Herfindahl</t>
  </si>
  <si>
    <t>Riesgo Pais Promedio Ponderado</t>
  </si>
  <si>
    <t>HorizonteAños</t>
  </si>
  <si>
    <t>Marcos Delgui</t>
  </si>
  <si>
    <t>Agresivo</t>
  </si>
  <si>
    <t>Crecimiento Patrimonial en USD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</si>
</sst>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_-&quot;$&quot;\ * #,##0.00_-;\-&quot;$&quot;\ * #,##0.00_-;_-&quot;$&quot;\ * &quot;-&quot;??_-;_-@_-"/>
    <numFmt numFmtId="165" formatCode="0.00000000"/>
  </numFmts>
  <fonts count="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20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20"/>
      <color theme="1" tint="4.9989318521683403E-2"/>
      <name val="Aptos Narrow"/>
      <family val="2"/>
      <scheme val="minor"/>
    </font>
    <font>
      <sz val="10"/>
      <color theme="1"/>
      <name val="Arial Unicode MS"/>
      <family val="2"/>
    </font>
    <font>
      <sz val="12"/>
      <color theme="1"/>
      <name val="Aptos Narrow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39997558519241921"/>
        <bgColor indexed="64"/>
      </patternFill>
    </fill>
  </fills>
  <borders count="1">
    <border>
      <left/>
      <right/>
      <top/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164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0" borderId="0" xfId="0" pivotButton="1"/>
    <xf numFmtId="0" fontId="0" fillId="0" borderId="0" xfId="0" applyAlignment="1">
      <alignment horizontal="left"/>
    </xf>
    <xf numFmtId="10" fontId="0" fillId="0" borderId="0" xfId="0" applyNumberFormat="1"/>
    <xf numFmtId="0" fontId="0" fillId="2" borderId="0" xfId="0" applyFill="1"/>
    <xf numFmtId="10" fontId="2" fillId="0" borderId="0" xfId="0" applyNumberFormat="1" applyFont="1"/>
    <xf numFmtId="0" fontId="2" fillId="3" borderId="0" xfId="0" applyFont="1" applyFill="1"/>
    <xf numFmtId="9" fontId="2" fillId="0" borderId="0" xfId="1" applyFont="1"/>
    <xf numFmtId="0" fontId="0" fillId="0" borderId="0" xfId="0" applyAlignment="1">
      <alignment wrapText="1"/>
    </xf>
    <xf numFmtId="0" fontId="0" fillId="0" borderId="0" xfId="0" applyAlignment="1">
      <alignment vertical="center" wrapText="1"/>
    </xf>
    <xf numFmtId="165" fontId="0" fillId="0" borderId="0" xfId="0" applyNumberFormat="1"/>
    <xf numFmtId="0" fontId="5" fillId="2" borderId="0" xfId="0" applyFont="1" applyFill="1"/>
    <xf numFmtId="164" fontId="2" fillId="0" borderId="0" xfId="2" applyFont="1"/>
    <xf numFmtId="0" fontId="3" fillId="2" borderId="0" xfId="0" applyFont="1" applyFill="1" applyAlignment="1">
      <alignment horizontal="center" vertical="center" wrapText="1"/>
    </xf>
    <xf numFmtId="0" fontId="3" fillId="0" borderId="0" xfId="0" applyFont="1"/>
    <xf numFmtId="0" fontId="2" fillId="0" borderId="0" xfId="0" applyNumberFormat="1" applyFont="1"/>
    <xf numFmtId="9" fontId="0" fillId="0" borderId="0" xfId="1" applyFont="1"/>
    <xf numFmtId="0" fontId="6" fillId="0" borderId="0" xfId="0" applyFont="1"/>
    <xf numFmtId="9" fontId="6" fillId="0" borderId="0" xfId="1" applyFont="1"/>
    <xf numFmtId="0" fontId="0" fillId="0" borderId="0" xfId="0" applyFont="1"/>
    <xf numFmtId="43" fontId="2" fillId="0" borderId="0" xfId="3" applyFont="1"/>
    <xf numFmtId="0" fontId="7" fillId="0" borderId="0" xfId="0" applyFont="1" applyFill="1"/>
    <xf numFmtId="0" fontId="7" fillId="2" borderId="0" xfId="0" applyFont="1" applyFill="1"/>
  </cellXfs>
  <cellStyles count="4">
    <cellStyle name="Millares" xfId="3" builtinId="3"/>
    <cellStyle name="Moneda" xfId="2" builtinId="4"/>
    <cellStyle name="Normal" xfId="0" builtinId="0"/>
    <cellStyle name="Porcentaje" xfId="1" builtinId="5"/>
  </cellStyles>
  <dxfs count="38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numFmt numFmtId="0" formatCode="General"/>
    </dxf>
    <dxf>
      <numFmt numFmtId="0" formatCode="General"/>
    </dxf>
    <dxf>
      <numFmt numFmtId="0" formatCode="General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Aptos Narrow"/>
        <family val="2"/>
        <scheme val="minor"/>
      </font>
      <fill>
        <patternFill patternType="solid">
          <fgColor indexed="64"/>
          <bgColor rgb="FFFFFF00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20"/>
        <color theme="1" tint="4.9989318521683403E-2"/>
        <name val="Aptos Narrow"/>
        <family val="2"/>
        <scheme val="minor"/>
      </font>
      <fill>
        <patternFill patternType="solid">
          <fgColor indexed="64"/>
          <bgColor rgb="FFFFFF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onnections" Target="connections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pivotCacheDefinition" Target="pivotCache/pivotCacheDefinition1.xml"/><Relationship Id="rId14" Type="http://schemas.openxmlformats.org/officeDocument/2006/relationships/sheetMetadata" Target="metadata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rcos Delgui" refreshedDate="46077.688939814812" createdVersion="8" refreshedVersion="8" minRefreshableVersion="3" recordCount="6" xr:uid="{9BDAEFA2-02FF-7448-8ED3-1BEA00C08EC6}">
  <cacheSource type="worksheet">
    <worksheetSource name="InputActivos"/>
  </cacheSource>
  <cacheFields count="6">
    <cacheField name="Activo" numFmtId="0">
      <sharedItems/>
    </cacheField>
    <cacheField name="Tipo" numFmtId="0">
      <sharedItems count="5">
        <s v="ETF"/>
        <s v="Inmueble"/>
        <s v="Renta fija"/>
        <s v="Cash"/>
        <s v="Acciones"/>
      </sharedItems>
    </cacheField>
    <cacheField name="País" numFmtId="0">
      <sharedItems count="2">
        <s v="USA"/>
        <s v="Argentina"/>
      </sharedItems>
    </cacheField>
    <cacheField name="Moneda" numFmtId="0">
      <sharedItems/>
    </cacheField>
    <cacheField name="Custodio" numFmtId="0">
      <sharedItems/>
    </cacheField>
    <cacheField name="Valor en USD" numFmtId="0">
      <sharedItems containsSemiMixedTypes="0" containsString="0" containsNumber="1" containsInteger="1" minValue="10000" maxValue="15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6">
  <r>
    <s v="ETF SP500"/>
    <x v="0"/>
    <x v="0"/>
    <s v="USD"/>
    <s v="IBKR"/>
    <n v="150000"/>
  </r>
  <r>
    <s v="Dept Palermo"/>
    <x v="1"/>
    <x v="1"/>
    <s v="USD"/>
    <s v="Personal"/>
    <n v="300000"/>
  </r>
  <r>
    <s v="AL30"/>
    <x v="2"/>
    <x v="1"/>
    <s v="USD"/>
    <s v="Banco Galicia"/>
    <n v="80000"/>
  </r>
  <r>
    <s v="Cash USD"/>
    <x v="3"/>
    <x v="0"/>
    <s v="USD"/>
    <s v="Banco USA"/>
    <n v="50000"/>
  </r>
  <r>
    <s v="Cash pesos "/>
    <x v="3"/>
    <x v="1"/>
    <s v="Pesos Arg"/>
    <s v="Banco Galicia"/>
    <n v="1500000"/>
  </r>
  <r>
    <s v="Acciones Nvidia"/>
    <x v="4"/>
    <x v="0"/>
    <s v="USD"/>
    <s v="Banco Galicia"/>
    <n v="1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665FB5B-CF92-BB44-94BC-27A5AE85E3D1}" name="TablaDinámica3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1:B4" firstHeaderRow="1" firstDataRow="1" firstDataCol="1"/>
  <pivotFields count="6">
    <pivotField showAll="0"/>
    <pivotField showAll="0"/>
    <pivotField axis="axisRow" showAll="0">
      <items count="3">
        <item x="1"/>
        <item x="0"/>
        <item t="default"/>
      </items>
    </pivotField>
    <pivotField showAll="0"/>
    <pivotField showAll="0"/>
    <pivotField dataField="1" showAll="0"/>
  </pivotFields>
  <rowFields count="1">
    <field x="2"/>
  </rowFields>
  <rowItems count="3">
    <i>
      <x/>
    </i>
    <i>
      <x v="1"/>
    </i>
    <i t="grand">
      <x/>
    </i>
  </rowItems>
  <colItems count="1">
    <i/>
  </colItems>
  <dataFields count="1">
    <dataField name="Suma de Valor en USD" fld="5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EB7922B4-EA3A-0D4D-B21E-59F260EA511E}" name="TablaDinámica4" cacheId="25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9:B15" firstHeaderRow="1" firstDataRow="1" firstDataCol="1"/>
  <pivotFields count="6">
    <pivotField showAll="0"/>
    <pivotField axis="axisRow" showAll="0">
      <items count="6">
        <item x="3"/>
        <item x="0"/>
        <item x="1"/>
        <item x="2"/>
        <item x="4"/>
        <item t="default"/>
      </items>
    </pivotField>
    <pivotField showAll="0"/>
    <pivotField showAll="0"/>
    <pivotField showAll="0"/>
    <pivotField dataField="1" showAll="0"/>
  </pivotFields>
  <rowFields count="1">
    <field x="1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a de Valor en USD" fld="5" showDataAs="percentOfTotal" baseField="0" baseItem="0" numFmtId="1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2" connectionId="2" xr16:uid="{5999022D-219F-44CE-AAA9-70D6B93F7E1A}" autoFormatId="16" applyNumberFormats="0" applyBorderFormats="0" applyFontFormats="0" applyPatternFormats="0" applyAlignmentFormats="0" applyWidthHeightFormats="0">
  <queryTableRefresh nextId="5">
    <queryTableFields count="4">
      <queryTableField id="1" name="Pais" tableColumnId="1"/>
      <queryTableField id="2" name="ISO" tableColumnId="2"/>
      <queryTableField id="3" name="Año" tableColumnId="3"/>
      <queryTableField id="4" name="CrecimientoPBI" tableColumnId="4"/>
    </queryTableFields>
  </queryTableRefresh>
</queryTable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B7258BA1-D2F0-4180-8673-A8397CB92946}" autoFormatId="16" applyNumberFormats="0" applyBorderFormats="0" applyFontFormats="0" applyPatternFormats="0" applyAlignmentFormats="0" applyWidthHeightFormats="0">
  <queryTableRefresh nextId="12" unboundColumnsRight="3">
    <queryTableFields count="8">
      <queryTableField id="2" name="Pais" tableColumnId="2"/>
      <queryTableField id="3" name="ISO" tableColumnId="3"/>
      <queryTableField id="4" name="Año" tableColumnId="4"/>
      <queryTableField id="7" name="Inflacion" tableColumnId="7"/>
      <queryTableField id="8" name="WB_PBI.CrecimientoPBI" tableColumnId="8"/>
      <queryTableField id="9" dataBound="0" tableColumnId="9"/>
      <queryTableField id="10" dataBound="0" tableColumnId="10"/>
      <queryTableField id="11" dataBound="0" tableColumnId="11"/>
    </queryTableFields>
  </queryTableRefresh>
</queryTable>
</file>

<file path=xl/tables/_rels/table4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2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E07031-A861-D246-BE8D-9CF23CF39FB4}" name="InputActivos" displayName="InputActivos" ref="A1:M8" totalsRowCount="1" headerRowDxfId="37" dataDxfId="36">
  <autoFilter ref="A1:M7" xr:uid="{27E07031-A861-D246-BE8D-9CF23CF39FB4}"/>
  <sortState xmlns:xlrd2="http://schemas.microsoft.com/office/spreadsheetml/2017/richdata2" ref="A2:M7">
    <sortCondition descending="1" ref="M1:M7"/>
  </sortState>
  <tableColumns count="13">
    <tableColumn id="1" xr3:uid="{544AFF7A-CC53-E24B-8970-96A4D410C10A}" name="Activo" dataDxfId="35" totalsRowDxfId="15"/>
    <tableColumn id="2" xr3:uid="{175438B5-6BE2-C946-9FD8-FBB4F18F74D5}" name="Tipo" dataDxfId="34" totalsRowDxfId="14"/>
    <tableColumn id="3" xr3:uid="{D9F8FA2D-942A-CB40-B3EC-6580337ADC50}" name="Pais" dataDxfId="33" totalsRowDxfId="13"/>
    <tableColumn id="4" xr3:uid="{D70CD167-DA9D-F642-8FF2-F41A5EA9DD24}" name="Moneda" dataDxfId="32" totalsRowDxfId="12"/>
    <tableColumn id="5" xr3:uid="{D973D5F2-F2C6-AE49-8591-227226B967DD}" name="Custodio" dataDxfId="31" totalsRowDxfId="11"/>
    <tableColumn id="11" xr3:uid="{03F96811-CC99-4CF0-BD83-934087125910}" name="ISO" dataDxfId="30" totalsRowDxfId="10"/>
    <tableColumn id="6" xr3:uid="{04C45FE1-0CEC-0F4D-878B-01CC84827946}" name="Valor en USD" dataDxfId="29" totalsRowDxfId="9" dataCellStyle="Moneda" totalsRowCellStyle="Moneda"/>
    <tableColumn id="7" xr3:uid="{4CAB2E6F-3940-4EB9-BB68-B4BE2FDBF1B5}" name="CountryContextScore" dataDxfId="28" totalsRowDxfId="8">
      <calculatedColumnFormula>INDEX(FP_CPI_TOTL[Country_Context],MATCH(InputActivos[[#This Row],[ISO]],FP_CPI_TOTL[ISO],0))</calculatedColumnFormula>
    </tableColumn>
    <tableColumn id="10" xr3:uid="{C6F29ECF-FD01-4672-AD8A-A9A7AEFC00C4}" name="VolatilidadBase" dataDxfId="27" totalsRowDxfId="7">
      <calculatedColumnFormula>+IFERROR(INDEX(Tabla4[VolBase],MATCH(InputActivos[[#This Row],[Tipo]],Tabla4[TipoActivo],0)),"")</calculatedColumnFormula>
    </tableColumn>
    <tableColumn id="12" xr3:uid="{A95A9541-CB0B-42E1-9876-6A844FE70DFD}" name="VolatilidadFinal" dataDxfId="26" totalsRowDxfId="6">
      <calculatedColumnFormula>InputActivos[[#This Row],[VolatilidadBase]] + (100-InputActivos[[#This Row],[CountryContextScore]])*0.1</calculatedColumnFormula>
    </tableColumn>
    <tableColumn id="8" xr3:uid="{0F381426-9DBF-4BDC-8EED-7282536AF6A5}" name="ScoreVolatilidad" dataDxfId="25" totalsRowDxfId="5">
      <calculatedColumnFormula>MAX(0,100-InputActivos[[#This Row],[VolatilidadFinal]])</calculatedColumnFormula>
    </tableColumn>
    <tableColumn id="9" xr3:uid="{B2D83509-9DE4-4087-8A5C-D506A5BA0DB9}" name="ScoreActivoFinal" dataDxfId="24" totalsRowDxfId="4">
      <calculatedColumnFormula>0.4*InputActivos[[#This Row],[CountryContextScore]] + 0.6*InputActivos[[#This Row],[ScoreVolatilidad]]</calculatedColumnFormula>
    </tableColumn>
    <tableColumn id="13" xr3:uid="{37F0F8B4-D656-CB4D-9601-EB4D4EA737A5}" name="Peso" totalsRowFunction="custom" dataDxfId="16" totalsRowDxfId="3" dataCellStyle="Millares">
      <calculatedColumnFormula>InputActivos[[#This Row],[Valor en USD]]/SUM(InputActivos[Valor en USD])</calculatedColumnFormula>
      <totalsRowFormula>+SUM(InputActivos[Peso])</totalsRowFormula>
    </tableColumn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585427FF-5402-5F47-A63B-1501C0974BAF}" name="Resumen" displayName="Resumen" ref="A1:B7" totalsRowShown="0" headerRowDxfId="0">
  <autoFilter ref="A1:B7" xr:uid="{585427FF-5402-5F47-A63B-1501C0974BAF}"/>
  <tableColumns count="2">
    <tableColumn id="1" xr3:uid="{B9F9350A-0C0C-9B45-BE98-A1786ACDB60D}" name="Métrica" dataDxfId="2"/>
    <tableColumn id="2" xr3:uid="{910EE7B7-C88A-4142-AD8E-8DE8CBD50CAF}" name="Valor" dataDxfId="1" dataCellStyle="Porcentaj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33A247DF-3EB3-4271-8A17-9E10BA5B38D9}" name="Tabla4" displayName="Tabla4" ref="A1:B9" totalsRowShown="0" headerRowDxfId="23" dataDxfId="22">
  <autoFilter ref="A1:B9" xr:uid="{33A247DF-3EB3-4271-8A17-9E10BA5B38D9}"/>
  <tableColumns count="2">
    <tableColumn id="1" xr3:uid="{2F3B4FF2-47CA-43AF-A820-78D9B68069C4}" name="TipoActivo" dataDxfId="21"/>
    <tableColumn id="2" xr3:uid="{E5BB679C-9536-48C3-B97D-0812FABA6664}" name="VolBase" dataDxfId="20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B6307105-34E0-432B-9FE6-A05E8A993797}" name="WB_PBI" displayName="WB_PBI" ref="A1:D10" tableType="queryTable" totalsRowShown="0">
  <autoFilter ref="A1:D10" xr:uid="{B6307105-34E0-432B-9FE6-A05E8A993797}">
    <filterColumn colId="2">
      <filters>
        <filter val="2024"/>
      </filters>
    </filterColumn>
  </autoFilter>
  <tableColumns count="4">
    <tableColumn id="1" xr3:uid="{A8D464F8-FC93-49E0-9394-48D0C2A7A6F3}" uniqueName="1" name="Pais" queryTableFieldId="1"/>
    <tableColumn id="2" xr3:uid="{06FF8877-436B-40D1-A51D-B684C7D9A119}" uniqueName="2" name="ISO" queryTableFieldId="2"/>
    <tableColumn id="3" xr3:uid="{DC09A07B-6BFC-4368-A026-0D5352494E54}" uniqueName="3" name="Año" queryTableFieldId="3"/>
    <tableColumn id="4" xr3:uid="{103E7751-9E73-459D-92EA-1A65FAE761E4}" uniqueName="4" name="CrecimientoPBI" queryTableFieldId="4"/>
  </tableColumns>
  <tableStyleInfo name="TableStyleMedium7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BC6C7D7F-DB8F-4FD4-A8A6-B553D88ED558}" name="FP_CPI_TOTL" displayName="FP_CPI_TOTL" ref="A1:H4" tableType="queryTable" totalsRowShown="0">
  <autoFilter ref="A1:H4" xr:uid="{BC6C7D7F-DB8F-4FD4-A8A6-B553D88ED558}"/>
  <tableColumns count="8">
    <tableColumn id="2" xr3:uid="{D02B89DE-0E60-4F5E-82D4-785020D72B56}" uniqueName="2" name="Pais" queryTableFieldId="2"/>
    <tableColumn id="3" xr3:uid="{64C2727E-0C06-4F2F-9EA9-D9787D32FD91}" uniqueName="3" name="ISO" queryTableFieldId="3"/>
    <tableColumn id="4" xr3:uid="{D72E411F-C3C4-47E5-82EF-12E2851032B2}" uniqueName="4" name="Año" queryTableFieldId="4"/>
    <tableColumn id="7" xr3:uid="{2EE8B0C6-2D7E-4EBD-824A-840A9478C46B}" uniqueName="7" name="Inflacion" queryTableFieldId="7"/>
    <tableColumn id="8" xr3:uid="{430AFAE1-7A70-4C5C-BBD4-C90DEA3B7FD3}" uniqueName="8" name="CrecimientoPBI" queryTableFieldId="8"/>
    <tableColumn id="9" xr3:uid="{618E2DF5-1B48-49E3-BC9A-D702C39956E6}" uniqueName="9" name="Score Inflacion" queryTableFieldId="9" dataDxfId="19">
      <calculatedColumnFormula>MAX(0,MIN(100,100-(FP_CPI_TOTL[[#This Row],[Inflacion]]*1)))</calculatedColumnFormula>
    </tableColumn>
    <tableColumn id="10" xr3:uid="{43598EDC-5605-4DB0-9B9F-143A1BE26205}" uniqueName="10" name="Score Pbi" queryTableFieldId="10" dataDxfId="18">
      <calculatedColumnFormula>MAX(0,MIN(100,50+(FP_CPI_TOTL[[#This Row],[CrecimientoPBI]]*10)))</calculatedColumnFormula>
    </tableColumn>
    <tableColumn id="11" xr3:uid="{E1671165-9E57-49DF-97A3-8FE1E4F61FB8}" uniqueName="11" name="Country_Context" queryTableFieldId="11" dataDxfId="17">
      <calculatedColumnFormula>FP_CPI_TOTL[[#This Row],[Score Inflacion]]*0.5 + FP_CPI_TOTL[[#This Row],[Score Pbi]]*0.5</calculatedColumnFormula>
    </tableColumn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7FBEA3-C194-6C40-9FDF-0EDC60C9B45A}">
  <dimension ref="A1:BJ685"/>
  <sheetViews>
    <sheetView zoomScale="80" zoomScaleNormal="80" workbookViewId="0">
      <selection activeCell="H10" sqref="H10"/>
    </sheetView>
  </sheetViews>
  <sheetFormatPr baseColWidth="10" defaultRowHeight="16" x14ac:dyDescent="0.2"/>
  <cols>
    <col min="1" max="1" width="20.1640625" bestFit="1" customWidth="1"/>
    <col min="2" max="3" width="14.1640625" bestFit="1" customWidth="1"/>
    <col min="4" max="4" width="14.6640625" customWidth="1"/>
    <col min="5" max="5" width="20.1640625" bestFit="1" customWidth="1"/>
    <col min="6" max="6" width="21.5" customWidth="1"/>
    <col min="7" max="7" width="35" bestFit="1" customWidth="1"/>
    <col min="8" max="8" width="34.33203125" bestFit="1" customWidth="1"/>
    <col min="9" max="9" width="24" customWidth="1"/>
    <col min="10" max="10" width="28.1640625" bestFit="1" customWidth="1"/>
    <col min="11" max="11" width="27.1640625" bestFit="1" customWidth="1"/>
    <col min="12" max="12" width="28.1640625" bestFit="1" customWidth="1"/>
    <col min="13" max="13" width="11.6640625" bestFit="1" customWidth="1"/>
  </cols>
  <sheetData>
    <row r="1" spans="1:62" ht="27" x14ac:dyDescent="0.35">
      <c r="A1" s="13" t="s">
        <v>0</v>
      </c>
      <c r="B1" s="13" t="s">
        <v>1</v>
      </c>
      <c r="C1" s="13" t="s">
        <v>38</v>
      </c>
      <c r="D1" s="13" t="s">
        <v>2</v>
      </c>
      <c r="E1" s="13" t="s">
        <v>3</v>
      </c>
      <c r="F1" s="13" t="s">
        <v>39</v>
      </c>
      <c r="G1" s="13" t="s">
        <v>4</v>
      </c>
      <c r="H1" s="13" t="s">
        <v>60</v>
      </c>
      <c r="I1" s="13" t="s">
        <v>66</v>
      </c>
      <c r="J1" s="13" t="s">
        <v>68</v>
      </c>
      <c r="K1" s="13" t="s">
        <v>59</v>
      </c>
      <c r="L1" s="13" t="s">
        <v>58</v>
      </c>
      <c r="M1" s="13" t="s">
        <v>83</v>
      </c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</row>
    <row r="2" spans="1:62" ht="27" x14ac:dyDescent="0.35">
      <c r="A2" s="1" t="s">
        <v>10</v>
      </c>
      <c r="B2" s="1" t="s">
        <v>11</v>
      </c>
      <c r="C2" s="1" t="s">
        <v>12</v>
      </c>
      <c r="D2" s="1" t="s">
        <v>8</v>
      </c>
      <c r="E2" s="1" t="s">
        <v>13</v>
      </c>
      <c r="F2" s="1" t="s">
        <v>42</v>
      </c>
      <c r="G2" s="14">
        <v>300000</v>
      </c>
      <c r="H2" s="1">
        <f>INDEX(FP_CPI_TOTL[Country_Context],MATCH(InputActivos[[#This Row],[ISO]],FP_CPI_TOTL[ISO],0))</f>
        <v>18.285346392113048</v>
      </c>
      <c r="I2" s="1">
        <f>+IFERROR(INDEX(Tabla4[VolBase],MATCH(InputActivos[[#This Row],[Tipo]],Tabla4[TipoActivo],0)),"")</f>
        <v>14</v>
      </c>
      <c r="J2" s="1">
        <f>InputActivos[[#This Row],[VolatilidadBase]] + (100-InputActivos[[#This Row],[CountryContextScore]])*0.1</f>
        <v>22.171465360788694</v>
      </c>
      <c r="K2" s="1">
        <f>MAX(0,100-InputActivos[[#This Row],[VolatilidadFinal]])</f>
        <v>77.828534639211313</v>
      </c>
      <c r="L2" s="1">
        <f>0.4*InputActivos[[#This Row],[CountryContextScore]] + 0.6*InputActivos[[#This Row],[ScoreVolatilidad]]</f>
        <v>54.011259340372007</v>
      </c>
      <c r="M2" s="22">
        <f>InputActivos[[#This Row],[Valor en USD]]/SUM(InputActivos[Valor en USD])</f>
        <v>0.5</v>
      </c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</row>
    <row r="3" spans="1:62" ht="27" x14ac:dyDescent="0.35">
      <c r="A3" s="1" t="s">
        <v>5</v>
      </c>
      <c r="B3" s="1" t="s">
        <v>6</v>
      </c>
      <c r="C3" s="1" t="s">
        <v>7</v>
      </c>
      <c r="D3" s="1" t="s">
        <v>8</v>
      </c>
      <c r="E3" s="1" t="s">
        <v>9</v>
      </c>
      <c r="F3" s="1" t="s">
        <v>7</v>
      </c>
      <c r="G3" s="14">
        <v>150000</v>
      </c>
      <c r="H3" s="1">
        <f>INDEX(FP_CPI_TOTL[Country_Context],MATCH(InputActivos[[#This Row],[ISO]],FP_CPI_TOTL[ISO],0))</f>
        <v>87.490243783412922</v>
      </c>
      <c r="I3" s="1">
        <f>+IFERROR(INDEX(Tabla4[VolBase],MATCH(InputActivos[[#This Row],[Tipo]],Tabla4[TipoActivo],0)),"")</f>
        <v>18</v>
      </c>
      <c r="J3" s="1">
        <f>InputActivos[[#This Row],[VolatilidadBase]] + (100-InputActivos[[#This Row],[CountryContextScore]])*0.1</f>
        <v>19.250975621658707</v>
      </c>
      <c r="K3" s="1">
        <f>MAX(0,100-InputActivos[[#This Row],[VolatilidadFinal]])</f>
        <v>80.749024378341289</v>
      </c>
      <c r="L3" s="1">
        <f>0.4*InputActivos[[#This Row],[CountryContextScore]] + 0.6*InputActivos[[#This Row],[ScoreVolatilidad]]</f>
        <v>83.445512140369942</v>
      </c>
      <c r="M3" s="22">
        <f>InputActivos[[#This Row],[Valor en USD]]/SUM(InputActivos[Valor en USD])</f>
        <v>0.25</v>
      </c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</row>
    <row r="4" spans="1:62" ht="27" x14ac:dyDescent="0.35">
      <c r="A4" s="1" t="s">
        <v>14</v>
      </c>
      <c r="B4" s="1" t="s">
        <v>15</v>
      </c>
      <c r="C4" s="1" t="s">
        <v>12</v>
      </c>
      <c r="D4" s="1" t="s">
        <v>8</v>
      </c>
      <c r="E4" s="1" t="s">
        <v>16</v>
      </c>
      <c r="F4" s="1" t="s">
        <v>42</v>
      </c>
      <c r="G4" s="14">
        <v>80000</v>
      </c>
      <c r="H4" s="1">
        <f>INDEX(FP_CPI_TOTL[Country_Context],MATCH(InputActivos[[#This Row],[ISO]],FP_CPI_TOTL[ISO],0))</f>
        <v>18.285346392113048</v>
      </c>
      <c r="I4" s="1">
        <f>+IFERROR(INDEX(Tabla4[VolBase],MATCH(InputActivos[[#This Row],[Tipo]],Tabla4[TipoActivo],0)),"")</f>
        <v>11</v>
      </c>
      <c r="J4" s="1">
        <f>InputActivos[[#This Row],[VolatilidadBase]] + (100-InputActivos[[#This Row],[CountryContextScore]])*0.1</f>
        <v>19.171465360788694</v>
      </c>
      <c r="K4" s="1">
        <f>MAX(0,100-InputActivos[[#This Row],[VolatilidadFinal]])</f>
        <v>80.828534639211313</v>
      </c>
      <c r="L4" s="1">
        <f>0.4*InputActivos[[#This Row],[CountryContextScore]] + 0.6*InputActivos[[#This Row],[ScoreVolatilidad]]</f>
        <v>55.811259340372011</v>
      </c>
      <c r="M4" s="22">
        <f>InputActivos[[#This Row],[Valor en USD]]/SUM(InputActivos[Valor en USD])</f>
        <v>0.13333333333333333</v>
      </c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</row>
    <row r="5" spans="1:62" ht="27" x14ac:dyDescent="0.35">
      <c r="A5" s="1" t="s">
        <v>17</v>
      </c>
      <c r="B5" s="1" t="s">
        <v>18</v>
      </c>
      <c r="C5" s="1" t="s">
        <v>7</v>
      </c>
      <c r="D5" s="1" t="s">
        <v>8</v>
      </c>
      <c r="E5" s="1" t="s">
        <v>19</v>
      </c>
      <c r="F5" s="1" t="s">
        <v>7</v>
      </c>
      <c r="G5" s="14">
        <v>50000</v>
      </c>
      <c r="H5" s="1">
        <f>INDEX(FP_CPI_TOTL[Country_Context],MATCH(InputActivos[[#This Row],[ISO]],FP_CPI_TOTL[ISO],0))</f>
        <v>87.490243783412922</v>
      </c>
      <c r="I5" s="1">
        <f>+IFERROR(INDEX(Tabla4[VolBase],MATCH(InputActivos[[#This Row],[Tipo]],Tabla4[TipoActivo],0)),"")</f>
        <v>1</v>
      </c>
      <c r="J5" s="1">
        <f>InputActivos[[#This Row],[VolatilidadBase]] + (100-InputActivos[[#This Row],[CountryContextScore]])*0.1</f>
        <v>2.250975621658708</v>
      </c>
      <c r="K5" s="1">
        <f>MAX(0,100-InputActivos[[#This Row],[VolatilidadFinal]])</f>
        <v>97.749024378341289</v>
      </c>
      <c r="L5" s="1">
        <f>0.4*InputActivos[[#This Row],[CountryContextScore]] + 0.6*InputActivos[[#This Row],[ScoreVolatilidad]]</f>
        <v>93.645512140369945</v>
      </c>
      <c r="M5" s="22">
        <f>InputActivos[[#This Row],[Valor en USD]]/SUM(InputActivos[Valor en USD])</f>
        <v>8.3333333333333329E-2</v>
      </c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</row>
    <row r="6" spans="1:62" ht="27" x14ac:dyDescent="0.35">
      <c r="A6" s="1" t="s">
        <v>34</v>
      </c>
      <c r="B6" s="1" t="s">
        <v>18</v>
      </c>
      <c r="C6" s="1" t="s">
        <v>12</v>
      </c>
      <c r="D6" s="1" t="s">
        <v>35</v>
      </c>
      <c r="E6" s="1" t="s">
        <v>16</v>
      </c>
      <c r="F6" s="1" t="s">
        <v>42</v>
      </c>
      <c r="G6" s="14">
        <v>10000</v>
      </c>
      <c r="H6" s="1">
        <f>INDEX(FP_CPI_TOTL[Country_Context],MATCH(InputActivos[[#This Row],[ISO]],FP_CPI_TOTL[ISO],0))</f>
        <v>18.285346392113048</v>
      </c>
      <c r="I6" s="1">
        <f>+IFERROR(INDEX(Tabla4[VolBase],MATCH(InputActivos[[#This Row],[Tipo]],Tabla4[TipoActivo],0)),"")</f>
        <v>1</v>
      </c>
      <c r="J6" s="1">
        <f>InputActivos[[#This Row],[VolatilidadBase]] + (100-InputActivos[[#This Row],[CountryContextScore]])*0.1</f>
        <v>9.1714653607886962</v>
      </c>
      <c r="K6" s="1">
        <f>MAX(0,100-InputActivos[[#This Row],[VolatilidadFinal]])</f>
        <v>90.828534639211298</v>
      </c>
      <c r="L6" s="1">
        <f>0.4*InputActivos[[#This Row],[CountryContextScore]] + 0.6*InputActivos[[#This Row],[ScoreVolatilidad]]</f>
        <v>61.811259340371997</v>
      </c>
      <c r="M6" s="22">
        <f>InputActivos[[#This Row],[Valor en USD]]/SUM(InputActivos[Valor en USD])</f>
        <v>1.6666666666666666E-2</v>
      </c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  <c r="AX6" s="1"/>
      <c r="AY6" s="1"/>
      <c r="AZ6" s="1"/>
      <c r="BA6" s="1"/>
      <c r="BB6" s="1"/>
      <c r="BC6" s="1"/>
      <c r="BD6" s="1"/>
      <c r="BE6" s="1"/>
      <c r="BF6" s="1"/>
      <c r="BG6" s="1"/>
      <c r="BH6" s="1"/>
      <c r="BI6" s="1"/>
      <c r="BJ6" s="1"/>
    </row>
    <row r="7" spans="1:62" ht="27" x14ac:dyDescent="0.35">
      <c r="A7" s="1" t="s">
        <v>36</v>
      </c>
      <c r="B7" s="1" t="s">
        <v>37</v>
      </c>
      <c r="C7" s="1" t="s">
        <v>7</v>
      </c>
      <c r="D7" s="1" t="s">
        <v>8</v>
      </c>
      <c r="E7" s="1" t="s">
        <v>16</v>
      </c>
      <c r="F7" s="1" t="s">
        <v>7</v>
      </c>
      <c r="G7" s="14">
        <v>10000</v>
      </c>
      <c r="H7" s="1">
        <f>INDEX(FP_CPI_TOTL[Country_Context],MATCH(InputActivos[[#This Row],[ISO]],FP_CPI_TOTL[ISO],0))</f>
        <v>87.490243783412922</v>
      </c>
      <c r="I7" s="1">
        <f>+IFERROR(INDEX(Tabla4[VolBase],MATCH(InputActivos[[#This Row],[Tipo]],Tabla4[TipoActivo],0)),"")</f>
        <v>25</v>
      </c>
      <c r="J7" s="1">
        <f>InputActivos[[#This Row],[VolatilidadBase]] + (100-InputActivos[[#This Row],[CountryContextScore]])*0.1</f>
        <v>26.250975621658707</v>
      </c>
      <c r="K7" s="1">
        <f>MAX(0,100-InputActivos[[#This Row],[VolatilidadFinal]])</f>
        <v>73.749024378341289</v>
      </c>
      <c r="L7" s="1">
        <f>0.4*InputActivos[[#This Row],[CountryContextScore]] + 0.6*InputActivos[[#This Row],[ScoreVolatilidad]]</f>
        <v>79.245512140369954</v>
      </c>
      <c r="M7" s="22">
        <f>InputActivos[[#This Row],[Valor en USD]]/SUM(InputActivos[Valor en USD])</f>
        <v>1.6666666666666666E-2</v>
      </c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</row>
    <row r="8" spans="1:62" ht="27" x14ac:dyDescent="0.35">
      <c r="A8" s="1"/>
      <c r="B8" s="1"/>
      <c r="C8" s="1"/>
      <c r="D8" s="1"/>
      <c r="E8" s="1"/>
      <c r="F8" s="1"/>
      <c r="G8" s="14"/>
      <c r="H8" s="17"/>
      <c r="I8" s="17"/>
      <c r="J8" s="17"/>
      <c r="K8" s="17"/>
      <c r="L8" s="17"/>
      <c r="M8" s="17">
        <f>+SUM(InputActivos[Peso])</f>
        <v>1</v>
      </c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  <c r="AX8" s="1"/>
      <c r="AY8" s="1"/>
      <c r="AZ8" s="1"/>
      <c r="BA8" s="1"/>
      <c r="BB8" s="1"/>
      <c r="BC8" s="1"/>
      <c r="BD8" s="1"/>
      <c r="BE8" s="1"/>
      <c r="BF8" s="1"/>
      <c r="BG8" s="1"/>
    </row>
    <row r="9" spans="1:62" ht="27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  <c r="AX9" s="1"/>
      <c r="AY9" s="1"/>
      <c r="AZ9" s="1"/>
      <c r="BA9" s="1"/>
      <c r="BB9" s="1"/>
      <c r="BC9" s="1"/>
      <c r="BD9" s="1"/>
      <c r="BE9" s="1"/>
      <c r="BF9" s="1"/>
      <c r="BG9" s="1"/>
    </row>
    <row r="10" spans="1:62" ht="27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1"/>
      <c r="BD10" s="1"/>
      <c r="BE10" s="1"/>
      <c r="BF10" s="1"/>
      <c r="BG10" s="1"/>
    </row>
    <row r="11" spans="1:62" ht="27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  <c r="AX11" s="1"/>
      <c r="AY11" s="1"/>
      <c r="AZ11" s="1"/>
      <c r="BA11" s="1"/>
      <c r="BB11" s="1"/>
      <c r="BC11" s="1"/>
      <c r="BD11" s="1"/>
      <c r="BE11" s="1"/>
      <c r="BF11" s="1"/>
      <c r="BG11" s="1"/>
    </row>
    <row r="12" spans="1:62" ht="27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1"/>
      <c r="BD12" s="1"/>
      <c r="BE12" s="1"/>
      <c r="BF12" s="1"/>
      <c r="BG12" s="1"/>
    </row>
    <row r="13" spans="1:62" ht="27" x14ac:dyDescent="0.35">
      <c r="A13" s="2" t="s">
        <v>46</v>
      </c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  <c r="AX13" s="1"/>
      <c r="AY13" s="1"/>
      <c r="AZ13" s="1"/>
      <c r="BA13" s="1"/>
      <c r="BB13" s="1"/>
      <c r="BC13" s="1"/>
      <c r="BD13" s="1"/>
      <c r="BE13" s="1"/>
      <c r="BF13" s="1"/>
      <c r="BG13" s="1"/>
    </row>
    <row r="14" spans="1:62" ht="27" x14ac:dyDescent="0.35">
      <c r="A14" s="2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  <c r="AX14" s="1"/>
      <c r="AY14" s="1"/>
      <c r="AZ14" s="1"/>
      <c r="BA14" s="1"/>
      <c r="BB14" s="1"/>
      <c r="BC14" s="1"/>
      <c r="BD14" s="1"/>
      <c r="BE14" s="1"/>
      <c r="BF14" s="1"/>
      <c r="BG14" s="1"/>
    </row>
    <row r="15" spans="1:62" ht="27" x14ac:dyDescent="0.35">
      <c r="A15" s="2" t="s">
        <v>47</v>
      </c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X15" s="1"/>
      <c r="AY15" s="1"/>
      <c r="AZ15" s="1"/>
      <c r="BA15" s="1"/>
      <c r="BB15" s="1"/>
      <c r="BC15" s="1"/>
      <c r="BD15" s="1"/>
      <c r="BE15" s="1"/>
      <c r="BF15" s="1"/>
      <c r="BG15" s="1"/>
    </row>
    <row r="16" spans="1:62" ht="27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</row>
    <row r="17" spans="1:59" ht="27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  <c r="AX17" s="1"/>
      <c r="AY17" s="1"/>
      <c r="AZ17" s="1"/>
      <c r="BA17" s="1"/>
      <c r="BB17" s="1"/>
      <c r="BC17" s="1"/>
      <c r="BD17" s="1"/>
      <c r="BE17" s="1"/>
      <c r="BF17" s="1"/>
      <c r="BG17" s="1"/>
    </row>
    <row r="18" spans="1:59" ht="27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1"/>
      <c r="BD18" s="1"/>
      <c r="BE18" s="1"/>
      <c r="BF18" s="1"/>
      <c r="BG18" s="1"/>
    </row>
    <row r="19" spans="1:59" ht="27" x14ac:dyDescent="0.35">
      <c r="A19" s="1" t="s">
        <v>48</v>
      </c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  <c r="BB19" s="1"/>
      <c r="BC19" s="1"/>
      <c r="BD19" s="1"/>
      <c r="BE19" s="1"/>
      <c r="BF19" s="1"/>
      <c r="BG19" s="1"/>
    </row>
    <row r="20" spans="1:59" ht="27" x14ac:dyDescent="0.35">
      <c r="A20" s="1" t="s">
        <v>49</v>
      </c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  <c r="BB20" s="1"/>
      <c r="BC20" s="1"/>
      <c r="BD20" s="1"/>
      <c r="BE20" s="1"/>
      <c r="BF20" s="1"/>
      <c r="BG20" s="1"/>
    </row>
    <row r="21" spans="1:59" ht="27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  <c r="BB21" s="1"/>
      <c r="BC21" s="1"/>
      <c r="BD21" s="1"/>
      <c r="BE21" s="1"/>
      <c r="BF21" s="1"/>
      <c r="BG21" s="1"/>
    </row>
    <row r="22" spans="1:59" ht="27" x14ac:dyDescent="0.35">
      <c r="A22" s="1" t="s">
        <v>50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  <c r="AX22" s="1"/>
      <c r="AY22" s="1"/>
      <c r="AZ22" s="1"/>
      <c r="BA22" s="1"/>
      <c r="BB22" s="1"/>
      <c r="BC22" s="1"/>
      <c r="BD22" s="1"/>
      <c r="BE22" s="1"/>
      <c r="BF22" s="1"/>
      <c r="BG22" s="1"/>
    </row>
    <row r="23" spans="1:59" ht="27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  <c r="AX23" s="1"/>
      <c r="AY23" s="1"/>
      <c r="AZ23" s="1"/>
      <c r="BA23" s="1"/>
      <c r="BB23" s="1"/>
      <c r="BC23" s="1"/>
      <c r="BD23" s="1"/>
      <c r="BE23" s="1"/>
      <c r="BF23" s="1"/>
      <c r="BG23" s="1"/>
    </row>
    <row r="24" spans="1:59" ht="27" x14ac:dyDescent="0.35">
      <c r="A24" s="1" t="s">
        <v>51</v>
      </c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  <c r="AX24" s="1"/>
      <c r="AY24" s="1"/>
      <c r="AZ24" s="1"/>
      <c r="BA24" s="1"/>
      <c r="BB24" s="1"/>
      <c r="BC24" s="1"/>
      <c r="BD24" s="1"/>
      <c r="BE24" s="1"/>
      <c r="BF24" s="1"/>
      <c r="BG24" s="1"/>
    </row>
    <row r="25" spans="1:59" ht="27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  <c r="AX25" s="1"/>
      <c r="AY25" s="1"/>
      <c r="AZ25" s="1"/>
      <c r="BA25" s="1"/>
      <c r="BB25" s="1"/>
      <c r="BC25" s="1"/>
      <c r="BD25" s="1"/>
      <c r="BE25" s="1"/>
      <c r="BF25" s="1"/>
      <c r="BG25" s="1"/>
    </row>
    <row r="26" spans="1:59" ht="27" x14ac:dyDescent="0.35">
      <c r="A26" s="1" t="s">
        <v>52</v>
      </c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  <c r="AX26" s="1"/>
      <c r="AY26" s="1"/>
      <c r="AZ26" s="1"/>
      <c r="BA26" s="1"/>
      <c r="BB26" s="1"/>
      <c r="BC26" s="1"/>
      <c r="BD26" s="1"/>
      <c r="BE26" s="1"/>
      <c r="BF26" s="1"/>
      <c r="BG26" s="1"/>
    </row>
    <row r="27" spans="1:59" ht="27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  <c r="AX27" s="1"/>
      <c r="AY27" s="1"/>
      <c r="AZ27" s="1"/>
      <c r="BA27" s="1"/>
      <c r="BB27" s="1"/>
      <c r="BC27" s="1"/>
      <c r="BD27" s="1"/>
      <c r="BE27" s="1"/>
      <c r="BF27" s="1"/>
      <c r="BG27" s="1"/>
    </row>
    <row r="28" spans="1:59" ht="27" x14ac:dyDescent="0.35">
      <c r="A28" s="1" t="s">
        <v>53</v>
      </c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  <c r="AX28" s="1"/>
      <c r="AY28" s="1"/>
      <c r="AZ28" s="1"/>
      <c r="BA28" s="1"/>
      <c r="BB28" s="1"/>
      <c r="BC28" s="1"/>
      <c r="BD28" s="1"/>
      <c r="BE28" s="1"/>
      <c r="BF28" s="1"/>
      <c r="BG28" s="1"/>
    </row>
    <row r="29" spans="1:59" ht="27" x14ac:dyDescent="0.35">
      <c r="A29" s="1" t="s">
        <v>54</v>
      </c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  <c r="AX29" s="1"/>
      <c r="AY29" s="1"/>
      <c r="AZ29" s="1"/>
      <c r="BA29" s="1"/>
      <c r="BB29" s="1"/>
      <c r="BC29" s="1"/>
      <c r="BD29" s="1"/>
      <c r="BE29" s="1"/>
      <c r="BF29" s="1"/>
      <c r="BG29" s="1"/>
    </row>
    <row r="30" spans="1:59" ht="27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  <c r="AX30" s="1"/>
      <c r="AY30" s="1"/>
      <c r="AZ30" s="1"/>
      <c r="BA30" s="1"/>
      <c r="BB30" s="1"/>
      <c r="BC30" s="1"/>
      <c r="BD30" s="1"/>
      <c r="BE30" s="1"/>
      <c r="BF30" s="1"/>
      <c r="BG30" s="1"/>
    </row>
    <row r="31" spans="1:59" ht="27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</row>
    <row r="32" spans="1:59" ht="27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</row>
    <row r="33" spans="1:59" ht="27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  <c r="AX33" s="1"/>
      <c r="AY33" s="1"/>
      <c r="AZ33" s="1"/>
      <c r="BA33" s="1"/>
      <c r="BB33" s="1"/>
      <c r="BC33" s="1"/>
      <c r="BD33" s="1"/>
      <c r="BE33" s="1"/>
      <c r="BF33" s="1"/>
      <c r="BG33" s="1"/>
    </row>
    <row r="34" spans="1:59" ht="27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  <c r="AX34" s="1"/>
      <c r="AY34" s="1"/>
      <c r="AZ34" s="1"/>
      <c r="BA34" s="1"/>
      <c r="BB34" s="1"/>
      <c r="BC34" s="1"/>
      <c r="BD34" s="1"/>
      <c r="BE34" s="1"/>
      <c r="BF34" s="1"/>
      <c r="BG34" s="1"/>
    </row>
    <row r="35" spans="1:59" ht="27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</row>
    <row r="36" spans="1:59" ht="27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1"/>
      <c r="BD36" s="1"/>
      <c r="BE36" s="1"/>
      <c r="BF36" s="1"/>
      <c r="BG36" s="1"/>
    </row>
    <row r="37" spans="1:59" ht="27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  <c r="AX37" s="1"/>
      <c r="AY37" s="1"/>
      <c r="AZ37" s="1"/>
      <c r="BA37" s="1"/>
      <c r="BB37" s="1"/>
      <c r="BC37" s="1"/>
      <c r="BD37" s="1"/>
      <c r="BE37" s="1"/>
      <c r="BF37" s="1"/>
      <c r="BG37" s="1"/>
    </row>
    <row r="38" spans="1:59" ht="27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  <c r="AX38" s="1"/>
      <c r="AY38" s="1"/>
      <c r="AZ38" s="1"/>
      <c r="BA38" s="1"/>
      <c r="BB38" s="1"/>
      <c r="BC38" s="1"/>
      <c r="BD38" s="1"/>
      <c r="BE38" s="1"/>
      <c r="BF38" s="1"/>
      <c r="BG38" s="1"/>
    </row>
    <row r="39" spans="1:59" ht="27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  <c r="AX39" s="1"/>
      <c r="AY39" s="1"/>
      <c r="AZ39" s="1"/>
      <c r="BA39" s="1"/>
      <c r="BB39" s="1"/>
      <c r="BC39" s="1"/>
      <c r="BD39" s="1"/>
      <c r="BE39" s="1"/>
      <c r="BF39" s="1"/>
      <c r="BG39" s="1"/>
    </row>
    <row r="40" spans="1:59" ht="27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  <c r="AX40" s="1"/>
      <c r="AY40" s="1"/>
      <c r="AZ40" s="1"/>
      <c r="BA40" s="1"/>
      <c r="BB40" s="1"/>
      <c r="BC40" s="1"/>
      <c r="BD40" s="1"/>
      <c r="BE40" s="1"/>
      <c r="BF40" s="1"/>
      <c r="BG40" s="1"/>
    </row>
    <row r="41" spans="1:59" ht="27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  <c r="AX41" s="1"/>
      <c r="AY41" s="1"/>
      <c r="AZ41" s="1"/>
      <c r="BA41" s="1"/>
      <c r="BB41" s="1"/>
      <c r="BC41" s="1"/>
      <c r="BD41" s="1"/>
      <c r="BE41" s="1"/>
      <c r="BF41" s="1"/>
      <c r="BG41" s="1"/>
    </row>
    <row r="42" spans="1:59" ht="27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1"/>
      <c r="BD42" s="1"/>
      <c r="BE42" s="1"/>
      <c r="BF42" s="1"/>
      <c r="BG42" s="1"/>
    </row>
    <row r="43" spans="1:59" ht="27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  <c r="AX43" s="1"/>
      <c r="AY43" s="1"/>
      <c r="AZ43" s="1"/>
      <c r="BA43" s="1"/>
      <c r="BB43" s="1"/>
      <c r="BC43" s="1"/>
      <c r="BD43" s="1"/>
      <c r="BE43" s="1"/>
      <c r="BF43" s="1"/>
      <c r="BG43" s="1"/>
    </row>
    <row r="44" spans="1:59" ht="27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1"/>
      <c r="BD44" s="1"/>
      <c r="BE44" s="1"/>
      <c r="BF44" s="1"/>
      <c r="BG44" s="1"/>
    </row>
    <row r="45" spans="1:59" ht="27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  <c r="AX45" s="1"/>
      <c r="AY45" s="1"/>
      <c r="AZ45" s="1"/>
      <c r="BA45" s="1"/>
      <c r="BB45" s="1"/>
      <c r="BC45" s="1"/>
      <c r="BD45" s="1"/>
      <c r="BE45" s="1"/>
      <c r="BF45" s="1"/>
      <c r="BG45" s="1"/>
    </row>
    <row r="46" spans="1:59" ht="27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1"/>
      <c r="BD46" s="1"/>
      <c r="BE46" s="1"/>
      <c r="BF46" s="1"/>
      <c r="BG46" s="1"/>
    </row>
    <row r="47" spans="1:59" ht="27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  <c r="AX47" s="1"/>
      <c r="AY47" s="1"/>
      <c r="AZ47" s="1"/>
      <c r="BA47" s="1"/>
      <c r="BB47" s="1"/>
      <c r="BC47" s="1"/>
      <c r="BD47" s="1"/>
      <c r="BE47" s="1"/>
      <c r="BF47" s="1"/>
      <c r="BG47" s="1"/>
    </row>
    <row r="48" spans="1:59" ht="27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  <c r="AX48" s="1"/>
      <c r="AY48" s="1"/>
      <c r="AZ48" s="1"/>
      <c r="BA48" s="1"/>
      <c r="BB48" s="1"/>
      <c r="BC48" s="1"/>
      <c r="BD48" s="1"/>
      <c r="BE48" s="1"/>
      <c r="BF48" s="1"/>
      <c r="BG48" s="1"/>
    </row>
    <row r="49" spans="1:59" ht="27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  <c r="AX49" s="1"/>
      <c r="AY49" s="1"/>
      <c r="AZ49" s="1"/>
      <c r="BA49" s="1"/>
      <c r="BB49" s="1"/>
      <c r="BC49" s="1"/>
      <c r="BD49" s="1"/>
      <c r="BE49" s="1"/>
      <c r="BF49" s="1"/>
      <c r="BG49" s="1"/>
    </row>
    <row r="50" spans="1:59" ht="27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  <c r="AX50" s="1"/>
      <c r="AY50" s="1"/>
      <c r="AZ50" s="1"/>
      <c r="BA50" s="1"/>
      <c r="BB50" s="1"/>
      <c r="BC50" s="1"/>
      <c r="BD50" s="1"/>
      <c r="BE50" s="1"/>
      <c r="BF50" s="1"/>
      <c r="BG50" s="1"/>
    </row>
    <row r="51" spans="1:59" ht="27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1"/>
      <c r="BD51" s="1"/>
      <c r="BE51" s="1"/>
      <c r="BF51" s="1"/>
      <c r="BG51" s="1"/>
    </row>
    <row r="52" spans="1:59" ht="27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  <c r="AX52" s="1"/>
      <c r="AY52" s="1"/>
      <c r="AZ52" s="1"/>
      <c r="BA52" s="1"/>
      <c r="BB52" s="1"/>
      <c r="BC52" s="1"/>
      <c r="BD52" s="1"/>
      <c r="BE52" s="1"/>
      <c r="BF52" s="1"/>
      <c r="BG52" s="1"/>
    </row>
    <row r="53" spans="1:59" ht="27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1"/>
      <c r="BD53" s="1"/>
      <c r="BE53" s="1"/>
      <c r="BF53" s="1"/>
      <c r="BG53" s="1"/>
    </row>
    <row r="54" spans="1:59" ht="27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  <c r="AX54" s="1"/>
      <c r="AY54" s="1"/>
      <c r="AZ54" s="1"/>
      <c r="BA54" s="1"/>
      <c r="BB54" s="1"/>
      <c r="BC54" s="1"/>
      <c r="BD54" s="1"/>
      <c r="BE54" s="1"/>
      <c r="BF54" s="1"/>
      <c r="BG54" s="1"/>
    </row>
    <row r="55" spans="1:59" ht="27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  <c r="BD55" s="1"/>
      <c r="BE55" s="1"/>
      <c r="BF55" s="1"/>
      <c r="BG55" s="1"/>
    </row>
    <row r="56" spans="1:59" ht="27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  <c r="AX56" s="1"/>
      <c r="AY56" s="1"/>
      <c r="AZ56" s="1"/>
      <c r="BA56" s="1"/>
      <c r="BB56" s="1"/>
      <c r="BC56" s="1"/>
      <c r="BD56" s="1"/>
      <c r="BE56" s="1"/>
      <c r="BF56" s="1"/>
      <c r="BG56" s="1"/>
    </row>
    <row r="57" spans="1:59" ht="27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  <c r="AX57" s="1"/>
      <c r="AY57" s="1"/>
      <c r="AZ57" s="1"/>
      <c r="BA57" s="1"/>
      <c r="BB57" s="1"/>
      <c r="BC57" s="1"/>
      <c r="BD57" s="1"/>
      <c r="BE57" s="1"/>
      <c r="BF57" s="1"/>
      <c r="BG57" s="1"/>
    </row>
    <row r="58" spans="1:59" ht="27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  <c r="AX58" s="1"/>
      <c r="AY58" s="1"/>
      <c r="AZ58" s="1"/>
      <c r="BA58" s="1"/>
      <c r="BB58" s="1"/>
      <c r="BC58" s="1"/>
      <c r="BD58" s="1"/>
      <c r="BE58" s="1"/>
      <c r="BF58" s="1"/>
      <c r="BG58" s="1"/>
    </row>
    <row r="59" spans="1:59" ht="27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  <c r="AX59" s="1"/>
      <c r="AY59" s="1"/>
      <c r="AZ59" s="1"/>
      <c r="BA59" s="1"/>
      <c r="BB59" s="1"/>
      <c r="BC59" s="1"/>
      <c r="BD59" s="1"/>
      <c r="BE59" s="1"/>
      <c r="BF59" s="1"/>
      <c r="BG59" s="1"/>
    </row>
    <row r="60" spans="1:59" ht="27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  <c r="AX60" s="1"/>
      <c r="AY60" s="1"/>
      <c r="AZ60" s="1"/>
      <c r="BA60" s="1"/>
      <c r="BB60" s="1"/>
      <c r="BC60" s="1"/>
      <c r="BD60" s="1"/>
      <c r="BE60" s="1"/>
      <c r="BF60" s="1"/>
      <c r="BG60" s="1"/>
    </row>
    <row r="61" spans="1:59" ht="27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  <c r="AX61" s="1"/>
      <c r="AY61" s="1"/>
      <c r="AZ61" s="1"/>
      <c r="BA61" s="1"/>
      <c r="BB61" s="1"/>
      <c r="BC61" s="1"/>
      <c r="BD61" s="1"/>
      <c r="BE61" s="1"/>
      <c r="BF61" s="1"/>
      <c r="BG61" s="1"/>
    </row>
    <row r="62" spans="1:59" ht="27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  <c r="AX62" s="1"/>
      <c r="AY62" s="1"/>
      <c r="AZ62" s="1"/>
      <c r="BA62" s="1"/>
      <c r="BB62" s="1"/>
      <c r="BC62" s="1"/>
      <c r="BD62" s="1"/>
      <c r="BE62" s="1"/>
      <c r="BF62" s="1"/>
      <c r="BG62" s="1"/>
    </row>
    <row r="63" spans="1:59" ht="27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  <c r="AX63" s="1"/>
      <c r="AY63" s="1"/>
      <c r="AZ63" s="1"/>
      <c r="BA63" s="1"/>
      <c r="BB63" s="1"/>
      <c r="BC63" s="1"/>
      <c r="BD63" s="1"/>
      <c r="BE63" s="1"/>
      <c r="BF63" s="1"/>
      <c r="BG63" s="1"/>
    </row>
    <row r="64" spans="1:59" ht="27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  <c r="AX64" s="1"/>
      <c r="AY64" s="1"/>
      <c r="AZ64" s="1"/>
      <c r="BA64" s="1"/>
      <c r="BB64" s="1"/>
      <c r="BC64" s="1"/>
      <c r="BD64" s="1"/>
      <c r="BE64" s="1"/>
      <c r="BF64" s="1"/>
      <c r="BG64" s="1"/>
    </row>
    <row r="65" spans="1:59" ht="27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  <c r="AX65" s="1"/>
      <c r="AY65" s="1"/>
      <c r="AZ65" s="1"/>
      <c r="BA65" s="1"/>
      <c r="BB65" s="1"/>
      <c r="BC65" s="1"/>
      <c r="BD65" s="1"/>
      <c r="BE65" s="1"/>
      <c r="BF65" s="1"/>
      <c r="BG65" s="1"/>
    </row>
    <row r="66" spans="1:59" ht="27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  <c r="AX66" s="1"/>
      <c r="AY66" s="1"/>
      <c r="AZ66" s="1"/>
      <c r="BA66" s="1"/>
      <c r="BB66" s="1"/>
      <c r="BC66" s="1"/>
      <c r="BD66" s="1"/>
      <c r="BE66" s="1"/>
      <c r="BF66" s="1"/>
      <c r="BG66" s="1"/>
    </row>
    <row r="67" spans="1:59" ht="27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</row>
    <row r="68" spans="1:59" ht="27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</row>
    <row r="69" spans="1:59" ht="27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  <c r="AX69" s="1"/>
      <c r="AY69" s="1"/>
      <c r="AZ69" s="1"/>
      <c r="BA69" s="1"/>
      <c r="BB69" s="1"/>
      <c r="BC69" s="1"/>
      <c r="BD69" s="1"/>
      <c r="BE69" s="1"/>
      <c r="BF69" s="1"/>
      <c r="BG69" s="1"/>
    </row>
    <row r="70" spans="1:59" ht="27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  <c r="AX70" s="1"/>
      <c r="AY70" s="1"/>
      <c r="AZ70" s="1"/>
      <c r="BA70" s="1"/>
      <c r="BB70" s="1"/>
      <c r="BC70" s="1"/>
      <c r="BD70" s="1"/>
      <c r="BE70" s="1"/>
      <c r="BF70" s="1"/>
      <c r="BG70" s="1"/>
    </row>
    <row r="71" spans="1:59" ht="2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  <c r="AX71" s="1"/>
      <c r="AY71" s="1"/>
      <c r="AZ71" s="1"/>
      <c r="BA71" s="1"/>
      <c r="BB71" s="1"/>
      <c r="BC71" s="1"/>
      <c r="BD71" s="1"/>
      <c r="BE71" s="1"/>
      <c r="BF71" s="1"/>
      <c r="BG71" s="1"/>
    </row>
    <row r="72" spans="1:59" ht="27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  <c r="AX72" s="1"/>
      <c r="AY72" s="1"/>
      <c r="AZ72" s="1"/>
      <c r="BA72" s="1"/>
      <c r="BB72" s="1"/>
      <c r="BC72" s="1"/>
      <c r="BD72" s="1"/>
      <c r="BE72" s="1"/>
      <c r="BF72" s="1"/>
      <c r="BG72" s="1"/>
    </row>
    <row r="73" spans="1:59" ht="2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  <c r="AX73" s="1"/>
      <c r="AY73" s="1"/>
      <c r="AZ73" s="1"/>
      <c r="BA73" s="1"/>
      <c r="BB73" s="1"/>
      <c r="BC73" s="1"/>
      <c r="BD73" s="1"/>
      <c r="BE73" s="1"/>
      <c r="BF73" s="1"/>
      <c r="BG73" s="1"/>
    </row>
    <row r="74" spans="1:59" ht="27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  <c r="AX74" s="1"/>
      <c r="AY74" s="1"/>
      <c r="AZ74" s="1"/>
      <c r="BA74" s="1"/>
      <c r="BB74" s="1"/>
      <c r="BC74" s="1"/>
      <c r="BD74" s="1"/>
      <c r="BE74" s="1"/>
      <c r="BF74" s="1"/>
      <c r="BG74" s="1"/>
    </row>
    <row r="75" spans="1:59" ht="27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  <c r="AX75" s="1"/>
      <c r="AY75" s="1"/>
      <c r="AZ75" s="1"/>
      <c r="BA75" s="1"/>
      <c r="BB75" s="1"/>
      <c r="BC75" s="1"/>
      <c r="BD75" s="1"/>
      <c r="BE75" s="1"/>
      <c r="BF75" s="1"/>
      <c r="BG75" s="1"/>
    </row>
    <row r="76" spans="1:59" ht="27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  <c r="AX76" s="1"/>
      <c r="AY76" s="1"/>
      <c r="AZ76" s="1"/>
      <c r="BA76" s="1"/>
      <c r="BB76" s="1"/>
      <c r="BC76" s="1"/>
      <c r="BD76" s="1"/>
      <c r="BE76" s="1"/>
      <c r="BF76" s="1"/>
      <c r="BG76" s="1"/>
    </row>
    <row r="77" spans="1:59" ht="27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  <c r="AX77" s="1"/>
      <c r="AY77" s="1"/>
      <c r="AZ77" s="1"/>
      <c r="BA77" s="1"/>
      <c r="BB77" s="1"/>
      <c r="BC77" s="1"/>
      <c r="BD77" s="1"/>
      <c r="BE77" s="1"/>
      <c r="BF77" s="1"/>
      <c r="BG77" s="1"/>
    </row>
    <row r="78" spans="1:59" ht="27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  <c r="AX78" s="1"/>
      <c r="AY78" s="1"/>
      <c r="AZ78" s="1"/>
      <c r="BA78" s="1"/>
      <c r="BB78" s="1"/>
      <c r="BC78" s="1"/>
      <c r="BD78" s="1"/>
      <c r="BE78" s="1"/>
      <c r="BF78" s="1"/>
      <c r="BG78" s="1"/>
    </row>
    <row r="79" spans="1:59" ht="27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  <c r="AX79" s="1"/>
      <c r="AY79" s="1"/>
      <c r="AZ79" s="1"/>
      <c r="BA79" s="1"/>
      <c r="BB79" s="1"/>
      <c r="BC79" s="1"/>
      <c r="BD79" s="1"/>
      <c r="BE79" s="1"/>
      <c r="BF79" s="1"/>
      <c r="BG79" s="1"/>
    </row>
    <row r="80" spans="1:59" ht="27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  <c r="AX80" s="1"/>
      <c r="AY80" s="1"/>
      <c r="AZ80" s="1"/>
      <c r="BA80" s="1"/>
      <c r="BB80" s="1"/>
      <c r="BC80" s="1"/>
      <c r="BD80" s="1"/>
      <c r="BE80" s="1"/>
      <c r="BF80" s="1"/>
      <c r="BG80" s="1"/>
    </row>
    <row r="81" spans="1:59" ht="27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  <c r="AX81" s="1"/>
      <c r="AY81" s="1"/>
      <c r="AZ81" s="1"/>
      <c r="BA81" s="1"/>
      <c r="BB81" s="1"/>
      <c r="BC81" s="1"/>
      <c r="BD81" s="1"/>
      <c r="BE81" s="1"/>
      <c r="BF81" s="1"/>
      <c r="BG81" s="1"/>
    </row>
    <row r="82" spans="1:59" ht="27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  <c r="AX82" s="1"/>
      <c r="AY82" s="1"/>
      <c r="AZ82" s="1"/>
      <c r="BA82" s="1"/>
      <c r="BB82" s="1"/>
      <c r="BC82" s="1"/>
      <c r="BD82" s="1"/>
      <c r="BE82" s="1"/>
      <c r="BF82" s="1"/>
      <c r="BG82" s="1"/>
    </row>
    <row r="83" spans="1:59" ht="27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  <c r="AX83" s="1"/>
      <c r="AY83" s="1"/>
      <c r="AZ83" s="1"/>
      <c r="BA83" s="1"/>
      <c r="BB83" s="1"/>
      <c r="BC83" s="1"/>
      <c r="BD83" s="1"/>
      <c r="BE83" s="1"/>
      <c r="BF83" s="1"/>
      <c r="BG83" s="1"/>
    </row>
    <row r="84" spans="1:59" ht="27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</row>
    <row r="85" spans="1:59" ht="27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  <c r="AX85" s="1"/>
      <c r="AY85" s="1"/>
      <c r="AZ85" s="1"/>
      <c r="BA85" s="1"/>
      <c r="BB85" s="1"/>
      <c r="BC85" s="1"/>
      <c r="BD85" s="1"/>
      <c r="BE85" s="1"/>
      <c r="BF85" s="1"/>
      <c r="BG85" s="1"/>
    </row>
    <row r="86" spans="1:59" ht="27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</row>
    <row r="87" spans="1:59" ht="27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  <c r="AX87" s="1"/>
      <c r="AY87" s="1"/>
      <c r="AZ87" s="1"/>
      <c r="BA87" s="1"/>
      <c r="BB87" s="1"/>
      <c r="BC87" s="1"/>
      <c r="BD87" s="1"/>
      <c r="BE87" s="1"/>
      <c r="BF87" s="1"/>
      <c r="BG87" s="1"/>
    </row>
    <row r="88" spans="1:59" ht="27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  <c r="AX88" s="1"/>
      <c r="AY88" s="1"/>
      <c r="AZ88" s="1"/>
      <c r="BA88" s="1"/>
      <c r="BB88" s="1"/>
      <c r="BC88" s="1"/>
      <c r="BD88" s="1"/>
      <c r="BE88" s="1"/>
      <c r="BF88" s="1"/>
      <c r="BG88" s="1"/>
    </row>
    <row r="89" spans="1:59" ht="27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  <c r="AX89" s="1"/>
      <c r="AY89" s="1"/>
      <c r="AZ89" s="1"/>
      <c r="BA89" s="1"/>
      <c r="BB89" s="1"/>
      <c r="BC89" s="1"/>
      <c r="BD89" s="1"/>
      <c r="BE89" s="1"/>
      <c r="BF89" s="1"/>
      <c r="BG89" s="1"/>
    </row>
    <row r="90" spans="1:59" ht="27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  <c r="AX90" s="1"/>
      <c r="AY90" s="1"/>
      <c r="AZ90" s="1"/>
      <c r="BA90" s="1"/>
      <c r="BB90" s="1"/>
      <c r="BC90" s="1"/>
      <c r="BD90" s="1"/>
      <c r="BE90" s="1"/>
      <c r="BF90" s="1"/>
      <c r="BG90" s="1"/>
    </row>
    <row r="91" spans="1:59" ht="27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Y91" s="1"/>
      <c r="AZ91" s="1"/>
      <c r="BA91" s="1"/>
      <c r="BB91" s="1"/>
      <c r="BC91" s="1"/>
      <c r="BD91" s="1"/>
      <c r="BE91" s="1"/>
      <c r="BF91" s="1"/>
      <c r="BG91" s="1"/>
    </row>
    <row r="92" spans="1:59" ht="27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  <c r="AX92" s="1"/>
      <c r="AY92" s="1"/>
      <c r="AZ92" s="1"/>
      <c r="BA92" s="1"/>
      <c r="BB92" s="1"/>
      <c r="BC92" s="1"/>
      <c r="BD92" s="1"/>
      <c r="BE92" s="1"/>
      <c r="BF92" s="1"/>
      <c r="BG92" s="1"/>
    </row>
    <row r="93" spans="1:59" ht="27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</row>
    <row r="94" spans="1:59" ht="27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  <c r="AX94" s="1"/>
      <c r="AY94" s="1"/>
      <c r="AZ94" s="1"/>
      <c r="BA94" s="1"/>
      <c r="BB94" s="1"/>
      <c r="BC94" s="1"/>
      <c r="BD94" s="1"/>
      <c r="BE94" s="1"/>
      <c r="BF94" s="1"/>
      <c r="BG94" s="1"/>
    </row>
    <row r="95" spans="1:59" ht="27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  <c r="AX95" s="1"/>
      <c r="AY95" s="1"/>
      <c r="AZ95" s="1"/>
      <c r="BA95" s="1"/>
      <c r="BB95" s="1"/>
      <c r="BC95" s="1"/>
      <c r="BD95" s="1"/>
      <c r="BE95" s="1"/>
      <c r="BF95" s="1"/>
      <c r="BG95" s="1"/>
    </row>
    <row r="96" spans="1:59" ht="27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  <c r="AX96" s="1"/>
      <c r="AY96" s="1"/>
      <c r="AZ96" s="1"/>
      <c r="BA96" s="1"/>
      <c r="BB96" s="1"/>
      <c r="BC96" s="1"/>
      <c r="BD96" s="1"/>
      <c r="BE96" s="1"/>
      <c r="BF96" s="1"/>
      <c r="BG96" s="1"/>
    </row>
    <row r="97" spans="1:59" ht="2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  <c r="AX97" s="1"/>
      <c r="AY97" s="1"/>
      <c r="AZ97" s="1"/>
      <c r="BA97" s="1"/>
      <c r="BB97" s="1"/>
      <c r="BC97" s="1"/>
      <c r="BD97" s="1"/>
      <c r="BE97" s="1"/>
      <c r="BF97" s="1"/>
      <c r="BG97" s="1"/>
    </row>
    <row r="98" spans="1:59" ht="27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  <c r="AX98" s="1"/>
      <c r="AY98" s="1"/>
      <c r="AZ98" s="1"/>
      <c r="BA98" s="1"/>
      <c r="BB98" s="1"/>
      <c r="BC98" s="1"/>
      <c r="BD98" s="1"/>
      <c r="BE98" s="1"/>
      <c r="BF98" s="1"/>
      <c r="BG98" s="1"/>
    </row>
    <row r="99" spans="1:59" ht="27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  <c r="AX99" s="1"/>
      <c r="AY99" s="1"/>
      <c r="AZ99" s="1"/>
      <c r="BA99" s="1"/>
      <c r="BB99" s="1"/>
      <c r="BC99" s="1"/>
      <c r="BD99" s="1"/>
      <c r="BE99" s="1"/>
      <c r="BF99" s="1"/>
      <c r="BG99" s="1"/>
    </row>
    <row r="100" spans="1:59" ht="27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  <c r="AX100" s="1"/>
      <c r="AY100" s="1"/>
      <c r="AZ100" s="1"/>
      <c r="BA100" s="1"/>
      <c r="BB100" s="1"/>
      <c r="BC100" s="1"/>
      <c r="BD100" s="1"/>
      <c r="BE100" s="1"/>
      <c r="BF100" s="1"/>
      <c r="BG100" s="1"/>
    </row>
    <row r="101" spans="1:59" ht="27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  <c r="AX101" s="1"/>
      <c r="AY101" s="1"/>
      <c r="AZ101" s="1"/>
      <c r="BA101" s="1"/>
      <c r="BB101" s="1"/>
      <c r="BC101" s="1"/>
      <c r="BD101" s="1"/>
      <c r="BE101" s="1"/>
      <c r="BF101" s="1"/>
      <c r="BG101" s="1"/>
    </row>
    <row r="102" spans="1:59" ht="27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  <c r="AX102" s="1"/>
      <c r="AY102" s="1"/>
      <c r="AZ102" s="1"/>
      <c r="BA102" s="1"/>
      <c r="BB102" s="1"/>
      <c r="BC102" s="1"/>
      <c r="BD102" s="1"/>
      <c r="BE102" s="1"/>
      <c r="BF102" s="1"/>
      <c r="BG102" s="1"/>
    </row>
    <row r="103" spans="1:59" ht="27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  <c r="AX103" s="1"/>
      <c r="AY103" s="1"/>
      <c r="AZ103" s="1"/>
      <c r="BA103" s="1"/>
      <c r="BB103" s="1"/>
      <c r="BC103" s="1"/>
      <c r="BD103" s="1"/>
      <c r="BE103" s="1"/>
      <c r="BF103" s="1"/>
      <c r="BG103" s="1"/>
    </row>
    <row r="104" spans="1:59" ht="27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  <c r="AX104" s="1"/>
      <c r="AY104" s="1"/>
      <c r="AZ104" s="1"/>
      <c r="BA104" s="1"/>
      <c r="BB104" s="1"/>
      <c r="BC104" s="1"/>
      <c r="BD104" s="1"/>
      <c r="BE104" s="1"/>
      <c r="BF104" s="1"/>
      <c r="BG104" s="1"/>
    </row>
    <row r="105" spans="1:59" ht="27" x14ac:dyDescent="0.35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  <c r="AX105" s="1"/>
      <c r="AY105" s="1"/>
      <c r="AZ105" s="1"/>
      <c r="BA105" s="1"/>
      <c r="BB105" s="1"/>
      <c r="BC105" s="1"/>
      <c r="BD105" s="1"/>
      <c r="BE105" s="1"/>
      <c r="BF105" s="1"/>
      <c r="BG105" s="1"/>
    </row>
    <row r="106" spans="1:59" ht="27" x14ac:dyDescent="0.35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  <c r="AX106" s="1"/>
      <c r="AY106" s="1"/>
      <c r="AZ106" s="1"/>
      <c r="BA106" s="1"/>
      <c r="BB106" s="1"/>
      <c r="BC106" s="1"/>
      <c r="BD106" s="1"/>
      <c r="BE106" s="1"/>
      <c r="BF106" s="1"/>
      <c r="BG106" s="1"/>
    </row>
    <row r="107" spans="1:59" ht="27" x14ac:dyDescent="0.35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  <c r="AX107" s="1"/>
      <c r="AY107" s="1"/>
      <c r="AZ107" s="1"/>
      <c r="BA107" s="1"/>
      <c r="BB107" s="1"/>
      <c r="BC107" s="1"/>
      <c r="BD107" s="1"/>
      <c r="BE107" s="1"/>
      <c r="BF107" s="1"/>
      <c r="BG107" s="1"/>
    </row>
    <row r="108" spans="1:59" ht="27" x14ac:dyDescent="0.35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  <c r="AX108" s="1"/>
      <c r="AY108" s="1"/>
      <c r="AZ108" s="1"/>
      <c r="BA108" s="1"/>
      <c r="BB108" s="1"/>
      <c r="BC108" s="1"/>
      <c r="BD108" s="1"/>
      <c r="BE108" s="1"/>
      <c r="BF108" s="1"/>
      <c r="BG108" s="1"/>
    </row>
    <row r="109" spans="1:59" ht="27" x14ac:dyDescent="0.35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  <c r="AA109" s="1"/>
      <c r="AB109" s="1"/>
      <c r="AC109" s="1"/>
      <c r="AD109" s="1"/>
      <c r="AE109" s="1"/>
      <c r="AF109" s="1"/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  <c r="AS109" s="1"/>
      <c r="AT109" s="1"/>
      <c r="AU109" s="1"/>
      <c r="AV109" s="1"/>
      <c r="AW109" s="1"/>
      <c r="AX109" s="1"/>
      <c r="AY109" s="1"/>
      <c r="AZ109" s="1"/>
      <c r="BA109" s="1"/>
      <c r="BB109" s="1"/>
      <c r="BC109" s="1"/>
      <c r="BD109" s="1"/>
      <c r="BE109" s="1"/>
      <c r="BF109" s="1"/>
      <c r="BG109" s="1"/>
    </row>
    <row r="110" spans="1:59" ht="27" x14ac:dyDescent="0.35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  <c r="AA110" s="1"/>
      <c r="AB110" s="1"/>
      <c r="AC110" s="1"/>
      <c r="AD110" s="1"/>
      <c r="AE110" s="1"/>
      <c r="AF110" s="1"/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  <c r="AS110" s="1"/>
      <c r="AT110" s="1"/>
      <c r="AU110" s="1"/>
      <c r="AV110" s="1"/>
      <c r="AW110" s="1"/>
      <c r="AX110" s="1"/>
      <c r="AY110" s="1"/>
      <c r="AZ110" s="1"/>
      <c r="BA110" s="1"/>
      <c r="BB110" s="1"/>
      <c r="BC110" s="1"/>
      <c r="BD110" s="1"/>
      <c r="BE110" s="1"/>
      <c r="BF110" s="1"/>
      <c r="BG110" s="1"/>
    </row>
    <row r="111" spans="1:59" ht="27" x14ac:dyDescent="0.35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  <c r="AA111" s="1"/>
      <c r="AB111" s="1"/>
      <c r="AC111" s="1"/>
      <c r="AD111" s="1"/>
      <c r="AE111" s="1"/>
      <c r="AF111" s="1"/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  <c r="AS111" s="1"/>
      <c r="AT111" s="1"/>
      <c r="AU111" s="1"/>
      <c r="AV111" s="1"/>
      <c r="AW111" s="1"/>
      <c r="AX111" s="1"/>
      <c r="AY111" s="1"/>
      <c r="AZ111" s="1"/>
      <c r="BA111" s="1"/>
      <c r="BB111" s="1"/>
      <c r="BC111" s="1"/>
      <c r="BD111" s="1"/>
      <c r="BE111" s="1"/>
      <c r="BF111" s="1"/>
      <c r="BG111" s="1"/>
    </row>
    <row r="112" spans="1:59" ht="27" x14ac:dyDescent="0.35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  <c r="AA112" s="1"/>
      <c r="AB112" s="1"/>
      <c r="AC112" s="1"/>
      <c r="AD112" s="1"/>
      <c r="AE112" s="1"/>
      <c r="AF112" s="1"/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  <c r="AS112" s="1"/>
      <c r="AT112" s="1"/>
      <c r="AU112" s="1"/>
      <c r="AV112" s="1"/>
      <c r="AW112" s="1"/>
      <c r="AX112" s="1"/>
      <c r="AY112" s="1"/>
      <c r="AZ112" s="1"/>
      <c r="BA112" s="1"/>
      <c r="BB112" s="1"/>
      <c r="BC112" s="1"/>
      <c r="BD112" s="1"/>
      <c r="BE112" s="1"/>
      <c r="BF112" s="1"/>
      <c r="BG112" s="1"/>
    </row>
    <row r="113" spans="1:59" ht="27" x14ac:dyDescent="0.35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  <c r="AA113" s="1"/>
      <c r="AB113" s="1"/>
      <c r="AC113" s="1"/>
      <c r="AD113" s="1"/>
      <c r="AE113" s="1"/>
      <c r="AF113" s="1"/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  <c r="AS113" s="1"/>
      <c r="AT113" s="1"/>
      <c r="AU113" s="1"/>
      <c r="AV113" s="1"/>
      <c r="AW113" s="1"/>
      <c r="AX113" s="1"/>
      <c r="AY113" s="1"/>
      <c r="AZ113" s="1"/>
      <c r="BA113" s="1"/>
      <c r="BB113" s="1"/>
      <c r="BC113" s="1"/>
      <c r="BD113" s="1"/>
      <c r="BE113" s="1"/>
      <c r="BF113" s="1"/>
      <c r="BG113" s="1"/>
    </row>
    <row r="114" spans="1:59" ht="27" x14ac:dyDescent="0.35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  <c r="AA114" s="1"/>
      <c r="AB114" s="1"/>
      <c r="AC114" s="1"/>
      <c r="AD114" s="1"/>
      <c r="AE114" s="1"/>
      <c r="AF114" s="1"/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  <c r="AS114" s="1"/>
      <c r="AT114" s="1"/>
      <c r="AU114" s="1"/>
      <c r="AV114" s="1"/>
      <c r="AW114" s="1"/>
      <c r="AX114" s="1"/>
      <c r="AY114" s="1"/>
      <c r="AZ114" s="1"/>
      <c r="BA114" s="1"/>
      <c r="BB114" s="1"/>
      <c r="BC114" s="1"/>
      <c r="BD114" s="1"/>
      <c r="BE114" s="1"/>
      <c r="BF114" s="1"/>
      <c r="BG114" s="1"/>
    </row>
    <row r="115" spans="1:59" ht="27" x14ac:dyDescent="0.35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  <c r="AA115" s="1"/>
      <c r="AB115" s="1"/>
      <c r="AC115" s="1"/>
      <c r="AD115" s="1"/>
      <c r="AE115" s="1"/>
      <c r="AF115" s="1"/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  <c r="AS115" s="1"/>
      <c r="AT115" s="1"/>
      <c r="AU115" s="1"/>
      <c r="AV115" s="1"/>
      <c r="AW115" s="1"/>
      <c r="AX115" s="1"/>
      <c r="AY115" s="1"/>
      <c r="AZ115" s="1"/>
      <c r="BA115" s="1"/>
      <c r="BB115" s="1"/>
      <c r="BC115" s="1"/>
      <c r="BD115" s="1"/>
      <c r="BE115" s="1"/>
      <c r="BF115" s="1"/>
      <c r="BG115" s="1"/>
    </row>
    <row r="116" spans="1:59" ht="27" x14ac:dyDescent="0.35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  <c r="AA116" s="1"/>
      <c r="AB116" s="1"/>
      <c r="AC116" s="1"/>
      <c r="AD116" s="1"/>
      <c r="AE116" s="1"/>
      <c r="AF116" s="1"/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  <c r="AS116" s="1"/>
      <c r="AT116" s="1"/>
      <c r="AU116" s="1"/>
      <c r="AV116" s="1"/>
      <c r="AW116" s="1"/>
      <c r="AX116" s="1"/>
      <c r="AY116" s="1"/>
      <c r="AZ116" s="1"/>
      <c r="BA116" s="1"/>
      <c r="BB116" s="1"/>
      <c r="BC116" s="1"/>
      <c r="BD116" s="1"/>
      <c r="BE116" s="1"/>
      <c r="BF116" s="1"/>
      <c r="BG116" s="1"/>
    </row>
    <row r="117" spans="1:59" ht="27" x14ac:dyDescent="0.35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  <c r="AA117" s="1"/>
      <c r="AB117" s="1"/>
      <c r="AC117" s="1"/>
      <c r="AD117" s="1"/>
      <c r="AE117" s="1"/>
      <c r="AF117" s="1"/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  <c r="AS117" s="1"/>
      <c r="AT117" s="1"/>
      <c r="AU117" s="1"/>
      <c r="AV117" s="1"/>
      <c r="AW117" s="1"/>
      <c r="AX117" s="1"/>
      <c r="AY117" s="1"/>
      <c r="AZ117" s="1"/>
      <c r="BA117" s="1"/>
      <c r="BB117" s="1"/>
      <c r="BC117" s="1"/>
      <c r="BD117" s="1"/>
      <c r="BE117" s="1"/>
      <c r="BF117" s="1"/>
      <c r="BG117" s="1"/>
    </row>
    <row r="118" spans="1:59" ht="27" x14ac:dyDescent="0.35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  <c r="AA118" s="1"/>
      <c r="AB118" s="1"/>
      <c r="AC118" s="1"/>
      <c r="AD118" s="1"/>
      <c r="AE118" s="1"/>
      <c r="AF118" s="1"/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  <c r="AS118" s="1"/>
      <c r="AT118" s="1"/>
      <c r="AU118" s="1"/>
      <c r="AV118" s="1"/>
      <c r="AW118" s="1"/>
      <c r="AX118" s="1"/>
      <c r="AY118" s="1"/>
      <c r="AZ118" s="1"/>
      <c r="BA118" s="1"/>
      <c r="BB118" s="1"/>
      <c r="BC118" s="1"/>
      <c r="BD118" s="1"/>
      <c r="BE118" s="1"/>
      <c r="BF118" s="1"/>
      <c r="BG118" s="1"/>
    </row>
    <row r="119" spans="1:59" ht="27" x14ac:dyDescent="0.35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  <c r="AA119" s="1"/>
      <c r="AB119" s="1"/>
      <c r="AC119" s="1"/>
      <c r="AD119" s="1"/>
      <c r="AE119" s="1"/>
      <c r="AF119" s="1"/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  <c r="AS119" s="1"/>
      <c r="AT119" s="1"/>
      <c r="AU119" s="1"/>
      <c r="AV119" s="1"/>
      <c r="AW119" s="1"/>
      <c r="AX119" s="1"/>
      <c r="AY119" s="1"/>
      <c r="AZ119" s="1"/>
      <c r="BA119" s="1"/>
      <c r="BB119" s="1"/>
      <c r="BC119" s="1"/>
      <c r="BD119" s="1"/>
      <c r="BE119" s="1"/>
      <c r="BF119" s="1"/>
      <c r="BG119" s="1"/>
    </row>
    <row r="120" spans="1:59" ht="27" x14ac:dyDescent="0.35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  <c r="AA120" s="1"/>
      <c r="AB120" s="1"/>
      <c r="AC120" s="1"/>
      <c r="AD120" s="1"/>
      <c r="AE120" s="1"/>
      <c r="AF120" s="1"/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  <c r="AS120" s="1"/>
      <c r="AT120" s="1"/>
      <c r="AU120" s="1"/>
      <c r="AV120" s="1"/>
      <c r="AW120" s="1"/>
      <c r="AX120" s="1"/>
      <c r="AY120" s="1"/>
      <c r="AZ120" s="1"/>
      <c r="BA120" s="1"/>
      <c r="BB120" s="1"/>
      <c r="BC120" s="1"/>
      <c r="BD120" s="1"/>
      <c r="BE120" s="1"/>
      <c r="BF120" s="1"/>
      <c r="BG120" s="1"/>
    </row>
    <row r="121" spans="1:59" ht="27" x14ac:dyDescent="0.35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  <c r="AA121" s="1"/>
      <c r="AB121" s="1"/>
      <c r="AC121" s="1"/>
      <c r="AD121" s="1"/>
      <c r="AE121" s="1"/>
      <c r="AF121" s="1"/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  <c r="AS121" s="1"/>
      <c r="AT121" s="1"/>
      <c r="AU121" s="1"/>
      <c r="AV121" s="1"/>
      <c r="AW121" s="1"/>
      <c r="AX121" s="1"/>
      <c r="AY121" s="1"/>
      <c r="AZ121" s="1"/>
      <c r="BA121" s="1"/>
      <c r="BB121" s="1"/>
      <c r="BC121" s="1"/>
      <c r="BD121" s="1"/>
      <c r="BE121" s="1"/>
      <c r="BF121" s="1"/>
      <c r="BG121" s="1"/>
    </row>
    <row r="122" spans="1:59" ht="27" x14ac:dyDescent="0.35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  <c r="AA122" s="1"/>
      <c r="AB122" s="1"/>
      <c r="AC122" s="1"/>
      <c r="AD122" s="1"/>
      <c r="AE122" s="1"/>
      <c r="AF122" s="1"/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  <c r="AS122" s="1"/>
      <c r="AT122" s="1"/>
      <c r="AU122" s="1"/>
      <c r="AV122" s="1"/>
      <c r="AW122" s="1"/>
      <c r="AX122" s="1"/>
      <c r="AY122" s="1"/>
      <c r="AZ122" s="1"/>
      <c r="BA122" s="1"/>
      <c r="BB122" s="1"/>
      <c r="BC122" s="1"/>
      <c r="BD122" s="1"/>
      <c r="BE122" s="1"/>
      <c r="BF122" s="1"/>
      <c r="BG122" s="1"/>
    </row>
    <row r="123" spans="1:59" ht="27" x14ac:dyDescent="0.35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  <c r="AA123" s="1"/>
      <c r="AB123" s="1"/>
      <c r="AC123" s="1"/>
      <c r="AD123" s="1"/>
      <c r="AE123" s="1"/>
      <c r="AF123" s="1"/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  <c r="AS123" s="1"/>
      <c r="AT123" s="1"/>
      <c r="AU123" s="1"/>
      <c r="AV123" s="1"/>
      <c r="AW123" s="1"/>
      <c r="AX123" s="1"/>
      <c r="AY123" s="1"/>
      <c r="AZ123" s="1"/>
      <c r="BA123" s="1"/>
      <c r="BB123" s="1"/>
      <c r="BC123" s="1"/>
      <c r="BD123" s="1"/>
      <c r="BE123" s="1"/>
      <c r="BF123" s="1"/>
      <c r="BG123" s="1"/>
    </row>
    <row r="124" spans="1:59" ht="27" x14ac:dyDescent="0.35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  <c r="AA124" s="1"/>
      <c r="AB124" s="1"/>
      <c r="AC124" s="1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  <c r="AS124" s="1"/>
      <c r="AT124" s="1"/>
      <c r="AU124" s="1"/>
      <c r="AV124" s="1"/>
      <c r="AW124" s="1"/>
      <c r="AX124" s="1"/>
      <c r="AY124" s="1"/>
      <c r="AZ124" s="1"/>
      <c r="BA124" s="1"/>
      <c r="BB124" s="1"/>
      <c r="BC124" s="1"/>
      <c r="BD124" s="1"/>
      <c r="BE124" s="1"/>
      <c r="BF124" s="1"/>
      <c r="BG124" s="1"/>
    </row>
    <row r="125" spans="1:59" ht="27" x14ac:dyDescent="0.35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  <c r="AA125" s="1"/>
      <c r="AB125" s="1"/>
      <c r="AC125" s="1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  <c r="AS125" s="1"/>
      <c r="AT125" s="1"/>
      <c r="AU125" s="1"/>
      <c r="AV125" s="1"/>
      <c r="AW125" s="1"/>
      <c r="AX125" s="1"/>
      <c r="AY125" s="1"/>
      <c r="AZ125" s="1"/>
      <c r="BA125" s="1"/>
      <c r="BB125" s="1"/>
      <c r="BC125" s="1"/>
      <c r="BD125" s="1"/>
      <c r="BE125" s="1"/>
      <c r="BF125" s="1"/>
      <c r="BG125" s="1"/>
    </row>
    <row r="126" spans="1:59" ht="27" x14ac:dyDescent="0.35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  <c r="AA126" s="1"/>
      <c r="AB126" s="1"/>
      <c r="AC126" s="1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  <c r="AS126" s="1"/>
      <c r="AT126" s="1"/>
      <c r="AU126" s="1"/>
      <c r="AV126" s="1"/>
      <c r="AW126" s="1"/>
      <c r="AX126" s="1"/>
      <c r="AY126" s="1"/>
      <c r="AZ126" s="1"/>
      <c r="BA126" s="1"/>
      <c r="BB126" s="1"/>
      <c r="BC126" s="1"/>
      <c r="BD126" s="1"/>
      <c r="BE126" s="1"/>
      <c r="BF126" s="1"/>
      <c r="BG126" s="1"/>
    </row>
    <row r="127" spans="1:59" ht="27" x14ac:dyDescent="0.35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  <c r="AA127" s="1"/>
      <c r="AB127" s="1"/>
      <c r="AC127" s="1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  <c r="AS127" s="1"/>
      <c r="AT127" s="1"/>
      <c r="AU127" s="1"/>
      <c r="AV127" s="1"/>
      <c r="AW127" s="1"/>
      <c r="AX127" s="1"/>
      <c r="AY127" s="1"/>
      <c r="AZ127" s="1"/>
      <c r="BA127" s="1"/>
      <c r="BB127" s="1"/>
      <c r="BC127" s="1"/>
      <c r="BD127" s="1"/>
      <c r="BE127" s="1"/>
      <c r="BF127" s="1"/>
      <c r="BG127" s="1"/>
    </row>
    <row r="128" spans="1:59" ht="27" x14ac:dyDescent="0.35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  <c r="AA128" s="1"/>
      <c r="AB128" s="1"/>
      <c r="AC128" s="1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  <c r="AS128" s="1"/>
      <c r="AT128" s="1"/>
      <c r="AU128" s="1"/>
      <c r="AV128" s="1"/>
      <c r="AW128" s="1"/>
      <c r="AX128" s="1"/>
      <c r="AY128" s="1"/>
      <c r="AZ128" s="1"/>
      <c r="BA128" s="1"/>
      <c r="BB128" s="1"/>
      <c r="BC128" s="1"/>
      <c r="BD128" s="1"/>
      <c r="BE128" s="1"/>
      <c r="BF128" s="1"/>
      <c r="BG128" s="1"/>
    </row>
    <row r="129" spans="1:59" ht="27" x14ac:dyDescent="0.35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  <c r="AA129" s="1"/>
      <c r="AB129" s="1"/>
      <c r="AC129" s="1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  <c r="AS129" s="1"/>
      <c r="AT129" s="1"/>
      <c r="AU129" s="1"/>
      <c r="AV129" s="1"/>
      <c r="AW129" s="1"/>
      <c r="AX129" s="1"/>
      <c r="AY129" s="1"/>
      <c r="AZ129" s="1"/>
      <c r="BA129" s="1"/>
      <c r="BB129" s="1"/>
      <c r="BC129" s="1"/>
      <c r="BD129" s="1"/>
      <c r="BE129" s="1"/>
      <c r="BF129" s="1"/>
      <c r="BG129" s="1"/>
    </row>
    <row r="130" spans="1:59" ht="27" x14ac:dyDescent="0.35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  <c r="AA130" s="1"/>
      <c r="AB130" s="1"/>
      <c r="AC130" s="1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  <c r="AS130" s="1"/>
      <c r="AT130" s="1"/>
      <c r="AU130" s="1"/>
      <c r="AV130" s="1"/>
      <c r="AW130" s="1"/>
      <c r="AX130" s="1"/>
      <c r="AY130" s="1"/>
      <c r="AZ130" s="1"/>
      <c r="BA130" s="1"/>
      <c r="BB130" s="1"/>
      <c r="BC130" s="1"/>
      <c r="BD130" s="1"/>
      <c r="BE130" s="1"/>
      <c r="BF130" s="1"/>
      <c r="BG130" s="1"/>
    </row>
    <row r="131" spans="1:59" ht="27" x14ac:dyDescent="0.35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  <c r="AA131" s="1"/>
      <c r="AB131" s="1"/>
      <c r="AC131" s="1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  <c r="AS131" s="1"/>
      <c r="AT131" s="1"/>
      <c r="AU131" s="1"/>
      <c r="AV131" s="1"/>
      <c r="AW131" s="1"/>
      <c r="AX131" s="1"/>
      <c r="AY131" s="1"/>
      <c r="AZ131" s="1"/>
      <c r="BA131" s="1"/>
      <c r="BB131" s="1"/>
      <c r="BC131" s="1"/>
      <c r="BD131" s="1"/>
      <c r="BE131" s="1"/>
      <c r="BF131" s="1"/>
      <c r="BG131" s="1"/>
    </row>
    <row r="132" spans="1:59" ht="27" x14ac:dyDescent="0.35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  <c r="AA132" s="1"/>
      <c r="AB132" s="1"/>
      <c r="AC132" s="1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  <c r="AS132" s="1"/>
      <c r="AT132" s="1"/>
      <c r="AU132" s="1"/>
      <c r="AV132" s="1"/>
      <c r="AW132" s="1"/>
      <c r="AX132" s="1"/>
      <c r="AY132" s="1"/>
      <c r="AZ132" s="1"/>
      <c r="BA132" s="1"/>
      <c r="BB132" s="1"/>
      <c r="BC132" s="1"/>
      <c r="BD132" s="1"/>
      <c r="BE132" s="1"/>
      <c r="BF132" s="1"/>
      <c r="BG132" s="1"/>
    </row>
    <row r="133" spans="1:59" ht="27" x14ac:dyDescent="0.35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  <c r="AA133" s="1"/>
      <c r="AB133" s="1"/>
      <c r="AC133" s="1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  <c r="AS133" s="1"/>
      <c r="AT133" s="1"/>
      <c r="AU133" s="1"/>
      <c r="AV133" s="1"/>
      <c r="AW133" s="1"/>
      <c r="AX133" s="1"/>
      <c r="AY133" s="1"/>
      <c r="AZ133" s="1"/>
      <c r="BA133" s="1"/>
      <c r="BB133" s="1"/>
      <c r="BC133" s="1"/>
      <c r="BD133" s="1"/>
      <c r="BE133" s="1"/>
      <c r="BF133" s="1"/>
      <c r="BG133" s="1"/>
    </row>
    <row r="134" spans="1:59" ht="27" x14ac:dyDescent="0.35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  <c r="AA134" s="1"/>
      <c r="AB134" s="1"/>
      <c r="AC134" s="1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  <c r="AS134" s="1"/>
      <c r="AT134" s="1"/>
      <c r="AU134" s="1"/>
      <c r="AV134" s="1"/>
      <c r="AW134" s="1"/>
      <c r="AX134" s="1"/>
      <c r="AY134" s="1"/>
      <c r="AZ134" s="1"/>
      <c r="BA134" s="1"/>
      <c r="BB134" s="1"/>
      <c r="BC134" s="1"/>
      <c r="BD134" s="1"/>
      <c r="BE134" s="1"/>
      <c r="BF134" s="1"/>
      <c r="BG134" s="1"/>
    </row>
    <row r="135" spans="1:59" ht="27" x14ac:dyDescent="0.35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  <c r="AA135" s="1"/>
      <c r="AB135" s="1"/>
      <c r="AC135" s="1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  <c r="AS135" s="1"/>
      <c r="AT135" s="1"/>
      <c r="AU135" s="1"/>
      <c r="AV135" s="1"/>
      <c r="AW135" s="1"/>
      <c r="AX135" s="1"/>
      <c r="AY135" s="1"/>
      <c r="AZ135" s="1"/>
      <c r="BA135" s="1"/>
      <c r="BB135" s="1"/>
      <c r="BC135" s="1"/>
      <c r="BD135" s="1"/>
      <c r="BE135" s="1"/>
      <c r="BF135" s="1"/>
      <c r="BG135" s="1"/>
    </row>
    <row r="136" spans="1:59" ht="27" x14ac:dyDescent="0.35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  <c r="AA136" s="1"/>
      <c r="AB136" s="1"/>
      <c r="AC136" s="1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  <c r="AS136" s="1"/>
      <c r="AT136" s="1"/>
      <c r="AU136" s="1"/>
      <c r="AV136" s="1"/>
      <c r="AW136" s="1"/>
      <c r="AX136" s="1"/>
      <c r="AY136" s="1"/>
      <c r="AZ136" s="1"/>
      <c r="BA136" s="1"/>
      <c r="BB136" s="1"/>
      <c r="BC136" s="1"/>
      <c r="BD136" s="1"/>
      <c r="BE136" s="1"/>
      <c r="BF136" s="1"/>
      <c r="BG136" s="1"/>
    </row>
    <row r="137" spans="1:59" ht="27" x14ac:dyDescent="0.35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  <c r="AA137" s="1"/>
      <c r="AB137" s="1"/>
      <c r="AC137" s="1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  <c r="AS137" s="1"/>
      <c r="AT137" s="1"/>
      <c r="AU137" s="1"/>
      <c r="AV137" s="1"/>
      <c r="AW137" s="1"/>
      <c r="AX137" s="1"/>
      <c r="AY137" s="1"/>
      <c r="AZ137" s="1"/>
      <c r="BA137" s="1"/>
      <c r="BB137" s="1"/>
      <c r="BC137" s="1"/>
      <c r="BD137" s="1"/>
      <c r="BE137" s="1"/>
      <c r="BF137" s="1"/>
      <c r="BG137" s="1"/>
    </row>
    <row r="138" spans="1:59" ht="27" x14ac:dyDescent="0.35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  <c r="AA138" s="1"/>
      <c r="AB138" s="1"/>
      <c r="AC138" s="1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  <c r="AS138" s="1"/>
      <c r="AT138" s="1"/>
      <c r="AU138" s="1"/>
      <c r="AV138" s="1"/>
      <c r="AW138" s="1"/>
      <c r="AX138" s="1"/>
      <c r="AY138" s="1"/>
      <c r="AZ138" s="1"/>
      <c r="BA138" s="1"/>
      <c r="BB138" s="1"/>
      <c r="BC138" s="1"/>
      <c r="BD138" s="1"/>
      <c r="BE138" s="1"/>
      <c r="BF138" s="1"/>
      <c r="BG138" s="1"/>
    </row>
    <row r="139" spans="1:59" ht="27" x14ac:dyDescent="0.35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  <c r="AA139" s="1"/>
      <c r="AB139" s="1"/>
      <c r="AC139" s="1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  <c r="AS139" s="1"/>
      <c r="AT139" s="1"/>
      <c r="AU139" s="1"/>
      <c r="AV139" s="1"/>
      <c r="AW139" s="1"/>
      <c r="AX139" s="1"/>
      <c r="AY139" s="1"/>
      <c r="AZ139" s="1"/>
      <c r="BA139" s="1"/>
      <c r="BB139" s="1"/>
      <c r="BC139" s="1"/>
      <c r="BD139" s="1"/>
      <c r="BE139" s="1"/>
      <c r="BF139" s="1"/>
      <c r="BG139" s="1"/>
    </row>
    <row r="140" spans="1:59" ht="27" x14ac:dyDescent="0.35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  <c r="AA140" s="1"/>
      <c r="AB140" s="1"/>
      <c r="AC140" s="1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  <c r="AS140" s="1"/>
      <c r="AT140" s="1"/>
      <c r="AU140" s="1"/>
      <c r="AV140" s="1"/>
      <c r="AW140" s="1"/>
      <c r="AX140" s="1"/>
      <c r="AY140" s="1"/>
      <c r="AZ140" s="1"/>
      <c r="BA140" s="1"/>
      <c r="BB140" s="1"/>
      <c r="BC140" s="1"/>
      <c r="BD140" s="1"/>
      <c r="BE140" s="1"/>
      <c r="BF140" s="1"/>
      <c r="BG140" s="1"/>
    </row>
    <row r="141" spans="1:59" ht="27" x14ac:dyDescent="0.35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  <c r="AA141" s="1"/>
      <c r="AB141" s="1"/>
      <c r="AC141" s="1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  <c r="AS141" s="1"/>
      <c r="AT141" s="1"/>
      <c r="AU141" s="1"/>
      <c r="AV141" s="1"/>
      <c r="AW141" s="1"/>
      <c r="AX141" s="1"/>
      <c r="AY141" s="1"/>
      <c r="AZ141" s="1"/>
      <c r="BA141" s="1"/>
      <c r="BB141" s="1"/>
      <c r="BC141" s="1"/>
      <c r="BD141" s="1"/>
      <c r="BE141" s="1"/>
      <c r="BF141" s="1"/>
      <c r="BG141" s="1"/>
    </row>
    <row r="142" spans="1:59" ht="27" x14ac:dyDescent="0.35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  <c r="AA142" s="1"/>
      <c r="AB142" s="1"/>
      <c r="AC142" s="1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  <c r="AS142" s="1"/>
      <c r="AT142" s="1"/>
      <c r="AU142" s="1"/>
      <c r="AV142" s="1"/>
      <c r="AW142" s="1"/>
      <c r="AX142" s="1"/>
      <c r="AY142" s="1"/>
      <c r="AZ142" s="1"/>
      <c r="BA142" s="1"/>
      <c r="BB142" s="1"/>
      <c r="BC142" s="1"/>
      <c r="BD142" s="1"/>
      <c r="BE142" s="1"/>
      <c r="BF142" s="1"/>
      <c r="BG142" s="1"/>
    </row>
    <row r="143" spans="1:59" ht="27" x14ac:dyDescent="0.35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  <c r="AA143" s="1"/>
      <c r="AB143" s="1"/>
      <c r="AC143" s="1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  <c r="AS143" s="1"/>
      <c r="AT143" s="1"/>
      <c r="AU143" s="1"/>
      <c r="AV143" s="1"/>
      <c r="AW143" s="1"/>
      <c r="AX143" s="1"/>
      <c r="AY143" s="1"/>
      <c r="AZ143" s="1"/>
      <c r="BA143" s="1"/>
      <c r="BB143" s="1"/>
      <c r="BC143" s="1"/>
      <c r="BD143" s="1"/>
      <c r="BE143" s="1"/>
      <c r="BF143" s="1"/>
      <c r="BG143" s="1"/>
    </row>
    <row r="144" spans="1:59" ht="27" x14ac:dyDescent="0.35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  <c r="AA144" s="1"/>
      <c r="AB144" s="1"/>
      <c r="AC144" s="1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  <c r="AS144" s="1"/>
      <c r="AT144" s="1"/>
      <c r="AU144" s="1"/>
      <c r="AV144" s="1"/>
      <c r="AW144" s="1"/>
      <c r="AX144" s="1"/>
      <c r="AY144" s="1"/>
      <c r="AZ144" s="1"/>
      <c r="BA144" s="1"/>
      <c r="BB144" s="1"/>
      <c r="BC144" s="1"/>
      <c r="BD144" s="1"/>
      <c r="BE144" s="1"/>
      <c r="BF144" s="1"/>
      <c r="BG144" s="1"/>
    </row>
    <row r="145" spans="1:59" ht="27" x14ac:dyDescent="0.35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  <c r="AA145" s="1"/>
      <c r="AB145" s="1"/>
      <c r="AC145" s="1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  <c r="AS145" s="1"/>
      <c r="AT145" s="1"/>
      <c r="AU145" s="1"/>
      <c r="AV145" s="1"/>
      <c r="AW145" s="1"/>
      <c r="AX145" s="1"/>
      <c r="AY145" s="1"/>
      <c r="AZ145" s="1"/>
      <c r="BA145" s="1"/>
      <c r="BB145" s="1"/>
      <c r="BC145" s="1"/>
      <c r="BD145" s="1"/>
      <c r="BE145" s="1"/>
      <c r="BF145" s="1"/>
      <c r="BG145" s="1"/>
    </row>
    <row r="146" spans="1:59" ht="27" x14ac:dyDescent="0.35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  <c r="AA146" s="1"/>
      <c r="AB146" s="1"/>
      <c r="AC146" s="1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  <c r="AS146" s="1"/>
      <c r="AT146" s="1"/>
      <c r="AU146" s="1"/>
      <c r="AV146" s="1"/>
      <c r="AW146" s="1"/>
      <c r="AX146" s="1"/>
      <c r="AY146" s="1"/>
      <c r="AZ146" s="1"/>
      <c r="BA146" s="1"/>
      <c r="BB146" s="1"/>
      <c r="BC146" s="1"/>
      <c r="BD146" s="1"/>
      <c r="BE146" s="1"/>
      <c r="BF146" s="1"/>
      <c r="BG146" s="1"/>
    </row>
    <row r="147" spans="1:59" ht="27" x14ac:dyDescent="0.35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  <c r="AA147" s="1"/>
      <c r="AB147" s="1"/>
      <c r="AC147" s="1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  <c r="AS147" s="1"/>
      <c r="AT147" s="1"/>
      <c r="AU147" s="1"/>
      <c r="AV147" s="1"/>
      <c r="AW147" s="1"/>
      <c r="AX147" s="1"/>
      <c r="AY147" s="1"/>
      <c r="AZ147" s="1"/>
      <c r="BA147" s="1"/>
      <c r="BB147" s="1"/>
      <c r="BC147" s="1"/>
      <c r="BD147" s="1"/>
      <c r="BE147" s="1"/>
      <c r="BF147" s="1"/>
      <c r="BG147" s="1"/>
    </row>
    <row r="148" spans="1:59" ht="27" x14ac:dyDescent="0.35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  <c r="AA148" s="1"/>
      <c r="AB148" s="1"/>
      <c r="AC148" s="1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  <c r="AS148" s="1"/>
      <c r="AT148" s="1"/>
      <c r="AU148" s="1"/>
      <c r="AV148" s="1"/>
      <c r="AW148" s="1"/>
      <c r="AX148" s="1"/>
      <c r="AY148" s="1"/>
      <c r="AZ148" s="1"/>
      <c r="BA148" s="1"/>
      <c r="BB148" s="1"/>
      <c r="BC148" s="1"/>
      <c r="BD148" s="1"/>
      <c r="BE148" s="1"/>
      <c r="BF148" s="1"/>
      <c r="BG148" s="1"/>
    </row>
    <row r="149" spans="1:59" ht="27" x14ac:dyDescent="0.35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  <c r="AA149" s="1"/>
      <c r="AB149" s="1"/>
      <c r="AC149" s="1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  <c r="AS149" s="1"/>
      <c r="AT149" s="1"/>
      <c r="AU149" s="1"/>
      <c r="AV149" s="1"/>
      <c r="AW149" s="1"/>
      <c r="AX149" s="1"/>
      <c r="AY149" s="1"/>
      <c r="AZ149" s="1"/>
      <c r="BA149" s="1"/>
      <c r="BB149" s="1"/>
      <c r="BC149" s="1"/>
      <c r="BD149" s="1"/>
      <c r="BE149" s="1"/>
      <c r="BF149" s="1"/>
      <c r="BG149" s="1"/>
    </row>
    <row r="150" spans="1:59" ht="27" x14ac:dyDescent="0.35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  <c r="AA150" s="1"/>
      <c r="AB150" s="1"/>
      <c r="AC150" s="1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  <c r="AS150" s="1"/>
      <c r="AT150" s="1"/>
      <c r="AU150" s="1"/>
      <c r="AV150" s="1"/>
      <c r="AW150" s="1"/>
      <c r="AX150" s="1"/>
      <c r="AY150" s="1"/>
      <c r="AZ150" s="1"/>
      <c r="BA150" s="1"/>
      <c r="BB150" s="1"/>
      <c r="BC150" s="1"/>
      <c r="BD150" s="1"/>
      <c r="BE150" s="1"/>
      <c r="BF150" s="1"/>
      <c r="BG150" s="1"/>
    </row>
    <row r="151" spans="1:59" ht="27" x14ac:dyDescent="0.35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  <c r="AA151" s="1"/>
      <c r="AB151" s="1"/>
      <c r="AC151" s="1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  <c r="AS151" s="1"/>
      <c r="AT151" s="1"/>
      <c r="AU151" s="1"/>
      <c r="AV151" s="1"/>
      <c r="AW151" s="1"/>
      <c r="AX151" s="1"/>
      <c r="AY151" s="1"/>
      <c r="AZ151" s="1"/>
      <c r="BA151" s="1"/>
      <c r="BB151" s="1"/>
      <c r="BC151" s="1"/>
      <c r="BD151" s="1"/>
      <c r="BE151" s="1"/>
      <c r="BF151" s="1"/>
      <c r="BG151" s="1"/>
    </row>
    <row r="152" spans="1:59" ht="27" x14ac:dyDescent="0.35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  <c r="AA152" s="1"/>
      <c r="AB152" s="1"/>
      <c r="AC152" s="1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  <c r="AS152" s="1"/>
      <c r="AT152" s="1"/>
      <c r="AU152" s="1"/>
      <c r="AV152" s="1"/>
      <c r="AW152" s="1"/>
      <c r="AX152" s="1"/>
      <c r="AY152" s="1"/>
      <c r="AZ152" s="1"/>
      <c r="BA152" s="1"/>
      <c r="BB152" s="1"/>
      <c r="BC152" s="1"/>
      <c r="BD152" s="1"/>
      <c r="BE152" s="1"/>
      <c r="BF152" s="1"/>
      <c r="BG152" s="1"/>
    </row>
    <row r="153" spans="1:59" ht="27" x14ac:dyDescent="0.35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  <c r="AA153" s="1"/>
      <c r="AB153" s="1"/>
      <c r="AC153" s="1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  <c r="AS153" s="1"/>
      <c r="AT153" s="1"/>
      <c r="AU153" s="1"/>
      <c r="AV153" s="1"/>
      <c r="AW153" s="1"/>
      <c r="AX153" s="1"/>
      <c r="AY153" s="1"/>
      <c r="AZ153" s="1"/>
      <c r="BA153" s="1"/>
      <c r="BB153" s="1"/>
      <c r="BC153" s="1"/>
      <c r="BD153" s="1"/>
      <c r="BE153" s="1"/>
      <c r="BF153" s="1"/>
      <c r="BG153" s="1"/>
    </row>
    <row r="154" spans="1:59" ht="27" x14ac:dyDescent="0.35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  <c r="AA154" s="1"/>
      <c r="AB154" s="1"/>
      <c r="AC154" s="1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  <c r="AS154" s="1"/>
      <c r="AT154" s="1"/>
      <c r="AU154" s="1"/>
      <c r="AV154" s="1"/>
      <c r="AW154" s="1"/>
      <c r="AX154" s="1"/>
      <c r="AY154" s="1"/>
      <c r="AZ154" s="1"/>
      <c r="BA154" s="1"/>
      <c r="BB154" s="1"/>
      <c r="BC154" s="1"/>
      <c r="BD154" s="1"/>
      <c r="BE154" s="1"/>
      <c r="BF154" s="1"/>
      <c r="BG154" s="1"/>
    </row>
    <row r="155" spans="1:59" ht="27" x14ac:dyDescent="0.35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  <c r="AA155" s="1"/>
      <c r="AB155" s="1"/>
      <c r="AC155" s="1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  <c r="AS155" s="1"/>
      <c r="AT155" s="1"/>
      <c r="AU155" s="1"/>
      <c r="AV155" s="1"/>
      <c r="AW155" s="1"/>
      <c r="AX155" s="1"/>
      <c r="AY155" s="1"/>
      <c r="AZ155" s="1"/>
      <c r="BA155" s="1"/>
      <c r="BB155" s="1"/>
      <c r="BC155" s="1"/>
      <c r="BD155" s="1"/>
      <c r="BE155" s="1"/>
      <c r="BF155" s="1"/>
      <c r="BG155" s="1"/>
    </row>
    <row r="156" spans="1:59" ht="27" x14ac:dyDescent="0.35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  <c r="AA156" s="1"/>
      <c r="AB156" s="1"/>
      <c r="AC156" s="1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  <c r="AS156" s="1"/>
      <c r="AT156" s="1"/>
      <c r="AU156" s="1"/>
      <c r="AV156" s="1"/>
      <c r="AW156" s="1"/>
      <c r="AX156" s="1"/>
      <c r="AY156" s="1"/>
      <c r="AZ156" s="1"/>
      <c r="BA156" s="1"/>
      <c r="BB156" s="1"/>
      <c r="BC156" s="1"/>
      <c r="BD156" s="1"/>
      <c r="BE156" s="1"/>
      <c r="BF156" s="1"/>
      <c r="BG156" s="1"/>
    </row>
    <row r="157" spans="1:59" ht="27" x14ac:dyDescent="0.35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  <c r="AA157" s="1"/>
      <c r="AB157" s="1"/>
      <c r="AC157" s="1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  <c r="AS157" s="1"/>
      <c r="AT157" s="1"/>
      <c r="AU157" s="1"/>
      <c r="AV157" s="1"/>
      <c r="AW157" s="1"/>
      <c r="AX157" s="1"/>
      <c r="AY157" s="1"/>
      <c r="AZ157" s="1"/>
      <c r="BA157" s="1"/>
      <c r="BB157" s="1"/>
      <c r="BC157" s="1"/>
      <c r="BD157" s="1"/>
      <c r="BE157" s="1"/>
      <c r="BF157" s="1"/>
      <c r="BG157" s="1"/>
    </row>
    <row r="158" spans="1:59" ht="27" x14ac:dyDescent="0.35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  <c r="AA158" s="1"/>
      <c r="AB158" s="1"/>
      <c r="AC158" s="1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  <c r="AS158" s="1"/>
      <c r="AT158" s="1"/>
      <c r="AU158" s="1"/>
      <c r="AV158" s="1"/>
      <c r="AW158" s="1"/>
      <c r="AX158" s="1"/>
      <c r="AY158" s="1"/>
      <c r="AZ158" s="1"/>
      <c r="BA158" s="1"/>
      <c r="BB158" s="1"/>
      <c r="BC158" s="1"/>
      <c r="BD158" s="1"/>
      <c r="BE158" s="1"/>
      <c r="BF158" s="1"/>
      <c r="BG158" s="1"/>
    </row>
    <row r="159" spans="1:59" ht="27" x14ac:dyDescent="0.35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  <c r="AA159" s="1"/>
      <c r="AB159" s="1"/>
      <c r="AC159" s="1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  <c r="AS159" s="1"/>
      <c r="AT159" s="1"/>
      <c r="AU159" s="1"/>
      <c r="AV159" s="1"/>
      <c r="AW159" s="1"/>
      <c r="AX159" s="1"/>
      <c r="AY159" s="1"/>
      <c r="AZ159" s="1"/>
      <c r="BA159" s="1"/>
      <c r="BB159" s="1"/>
      <c r="BC159" s="1"/>
      <c r="BD159" s="1"/>
      <c r="BE159" s="1"/>
      <c r="BF159" s="1"/>
      <c r="BG159" s="1"/>
    </row>
    <row r="160" spans="1:59" ht="27" x14ac:dyDescent="0.35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  <c r="AA160" s="1"/>
      <c r="AB160" s="1"/>
      <c r="AC160" s="1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  <c r="AS160" s="1"/>
      <c r="AT160" s="1"/>
      <c r="AU160" s="1"/>
      <c r="AV160" s="1"/>
      <c r="AW160" s="1"/>
      <c r="AX160" s="1"/>
      <c r="AY160" s="1"/>
      <c r="AZ160" s="1"/>
      <c r="BA160" s="1"/>
      <c r="BB160" s="1"/>
      <c r="BC160" s="1"/>
      <c r="BD160" s="1"/>
      <c r="BE160" s="1"/>
      <c r="BF160" s="1"/>
      <c r="BG160" s="1"/>
    </row>
    <row r="161" spans="1:59" ht="27" x14ac:dyDescent="0.35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  <c r="AA161" s="1"/>
      <c r="AB161" s="1"/>
      <c r="AC161" s="1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  <c r="AS161" s="1"/>
      <c r="AT161" s="1"/>
      <c r="AU161" s="1"/>
      <c r="AV161" s="1"/>
      <c r="AW161" s="1"/>
      <c r="AX161" s="1"/>
      <c r="AY161" s="1"/>
      <c r="AZ161" s="1"/>
      <c r="BA161" s="1"/>
      <c r="BB161" s="1"/>
      <c r="BC161" s="1"/>
      <c r="BD161" s="1"/>
      <c r="BE161" s="1"/>
      <c r="BF161" s="1"/>
      <c r="BG161" s="1"/>
    </row>
    <row r="162" spans="1:59" ht="27" x14ac:dyDescent="0.35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  <c r="AA162" s="1"/>
      <c r="AB162" s="1"/>
      <c r="AC162" s="1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  <c r="AS162" s="1"/>
      <c r="AT162" s="1"/>
      <c r="AU162" s="1"/>
      <c r="AV162" s="1"/>
      <c r="AW162" s="1"/>
      <c r="AX162" s="1"/>
      <c r="AY162" s="1"/>
      <c r="AZ162" s="1"/>
      <c r="BA162" s="1"/>
      <c r="BB162" s="1"/>
      <c r="BC162" s="1"/>
      <c r="BD162" s="1"/>
      <c r="BE162" s="1"/>
      <c r="BF162" s="1"/>
      <c r="BG162" s="1"/>
    </row>
    <row r="163" spans="1:59" ht="27" x14ac:dyDescent="0.35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  <c r="AA163" s="1"/>
      <c r="AB163" s="1"/>
      <c r="AC163" s="1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  <c r="AS163" s="1"/>
      <c r="AT163" s="1"/>
      <c r="AU163" s="1"/>
      <c r="AV163" s="1"/>
      <c r="AW163" s="1"/>
      <c r="AX163" s="1"/>
      <c r="AY163" s="1"/>
      <c r="AZ163" s="1"/>
      <c r="BA163" s="1"/>
      <c r="BB163" s="1"/>
      <c r="BC163" s="1"/>
      <c r="BD163" s="1"/>
      <c r="BE163" s="1"/>
      <c r="BF163" s="1"/>
      <c r="BG163" s="1"/>
    </row>
    <row r="164" spans="1:59" ht="27" x14ac:dyDescent="0.35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  <c r="AA164" s="1"/>
      <c r="AB164" s="1"/>
      <c r="AC164" s="1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  <c r="AS164" s="1"/>
      <c r="AT164" s="1"/>
      <c r="AU164" s="1"/>
      <c r="AV164" s="1"/>
      <c r="AW164" s="1"/>
      <c r="AX164" s="1"/>
      <c r="AY164" s="1"/>
      <c r="AZ164" s="1"/>
      <c r="BA164" s="1"/>
      <c r="BB164" s="1"/>
      <c r="BC164" s="1"/>
      <c r="BD164" s="1"/>
      <c r="BE164" s="1"/>
      <c r="BF164" s="1"/>
      <c r="BG164" s="1"/>
    </row>
    <row r="165" spans="1:59" ht="27" x14ac:dyDescent="0.35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  <c r="AA165" s="1"/>
      <c r="AB165" s="1"/>
      <c r="AC165" s="1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  <c r="AS165" s="1"/>
      <c r="AT165" s="1"/>
      <c r="AU165" s="1"/>
      <c r="AV165" s="1"/>
      <c r="AW165" s="1"/>
      <c r="AX165" s="1"/>
      <c r="AY165" s="1"/>
      <c r="AZ165" s="1"/>
      <c r="BA165" s="1"/>
      <c r="BB165" s="1"/>
      <c r="BC165" s="1"/>
      <c r="BD165" s="1"/>
      <c r="BE165" s="1"/>
      <c r="BF165" s="1"/>
      <c r="BG165" s="1"/>
    </row>
    <row r="166" spans="1:59" ht="27" x14ac:dyDescent="0.35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  <c r="AA166" s="1"/>
      <c r="AB166" s="1"/>
      <c r="AC166" s="1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  <c r="AS166" s="1"/>
      <c r="AT166" s="1"/>
      <c r="AU166" s="1"/>
      <c r="AV166" s="1"/>
      <c r="AW166" s="1"/>
      <c r="AX166" s="1"/>
      <c r="AY166" s="1"/>
      <c r="AZ166" s="1"/>
      <c r="BA166" s="1"/>
      <c r="BB166" s="1"/>
      <c r="BC166" s="1"/>
      <c r="BD166" s="1"/>
      <c r="BE166" s="1"/>
      <c r="BF166" s="1"/>
      <c r="BG166" s="1"/>
    </row>
    <row r="167" spans="1:59" ht="27" x14ac:dyDescent="0.35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  <c r="AA167" s="1"/>
      <c r="AB167" s="1"/>
      <c r="AC167" s="1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  <c r="AS167" s="1"/>
      <c r="AT167" s="1"/>
      <c r="AU167" s="1"/>
      <c r="AV167" s="1"/>
      <c r="AW167" s="1"/>
      <c r="AX167" s="1"/>
      <c r="AY167" s="1"/>
      <c r="AZ167" s="1"/>
      <c r="BA167" s="1"/>
      <c r="BB167" s="1"/>
      <c r="BC167" s="1"/>
      <c r="BD167" s="1"/>
      <c r="BE167" s="1"/>
      <c r="BF167" s="1"/>
      <c r="BG167" s="1"/>
    </row>
    <row r="168" spans="1:59" ht="27" x14ac:dyDescent="0.35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  <c r="AA168" s="1"/>
      <c r="AB168" s="1"/>
      <c r="AC168" s="1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  <c r="AS168" s="1"/>
      <c r="AT168" s="1"/>
      <c r="AU168" s="1"/>
      <c r="AV168" s="1"/>
      <c r="AW168" s="1"/>
      <c r="AX168" s="1"/>
      <c r="AY168" s="1"/>
      <c r="AZ168" s="1"/>
      <c r="BA168" s="1"/>
      <c r="BB168" s="1"/>
      <c r="BC168" s="1"/>
      <c r="BD168" s="1"/>
      <c r="BE168" s="1"/>
      <c r="BF168" s="1"/>
      <c r="BG168" s="1"/>
    </row>
    <row r="169" spans="1:59" ht="27" x14ac:dyDescent="0.35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  <c r="AA169" s="1"/>
      <c r="AB169" s="1"/>
      <c r="AC169" s="1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  <c r="AS169" s="1"/>
      <c r="AT169" s="1"/>
      <c r="AU169" s="1"/>
      <c r="AV169" s="1"/>
      <c r="AW169" s="1"/>
      <c r="AX169" s="1"/>
      <c r="AY169" s="1"/>
      <c r="AZ169" s="1"/>
      <c r="BA169" s="1"/>
      <c r="BB169" s="1"/>
      <c r="BC169" s="1"/>
      <c r="BD169" s="1"/>
      <c r="BE169" s="1"/>
      <c r="BF169" s="1"/>
      <c r="BG169" s="1"/>
    </row>
    <row r="170" spans="1:59" ht="27" x14ac:dyDescent="0.35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  <c r="AA170" s="1"/>
      <c r="AB170" s="1"/>
      <c r="AC170" s="1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  <c r="AS170" s="1"/>
      <c r="AT170" s="1"/>
      <c r="AU170" s="1"/>
      <c r="AV170" s="1"/>
      <c r="AW170" s="1"/>
      <c r="AX170" s="1"/>
      <c r="AY170" s="1"/>
      <c r="AZ170" s="1"/>
      <c r="BA170" s="1"/>
      <c r="BB170" s="1"/>
      <c r="BC170" s="1"/>
      <c r="BD170" s="1"/>
      <c r="BE170" s="1"/>
      <c r="BF170" s="1"/>
      <c r="BG170" s="1"/>
    </row>
    <row r="171" spans="1:59" ht="27" x14ac:dyDescent="0.35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  <c r="AA171" s="1"/>
      <c r="AB171" s="1"/>
      <c r="AC171" s="1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  <c r="AS171" s="1"/>
      <c r="AT171" s="1"/>
      <c r="AU171" s="1"/>
      <c r="AV171" s="1"/>
      <c r="AW171" s="1"/>
      <c r="AX171" s="1"/>
      <c r="AY171" s="1"/>
      <c r="AZ171" s="1"/>
      <c r="BA171" s="1"/>
      <c r="BB171" s="1"/>
      <c r="BC171" s="1"/>
      <c r="BD171" s="1"/>
      <c r="BE171" s="1"/>
      <c r="BF171" s="1"/>
      <c r="BG171" s="1"/>
    </row>
    <row r="172" spans="1:59" ht="27" x14ac:dyDescent="0.35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  <c r="AA172" s="1"/>
      <c r="AB172" s="1"/>
      <c r="AC172" s="1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  <c r="AS172" s="1"/>
      <c r="AT172" s="1"/>
      <c r="AU172" s="1"/>
      <c r="AV172" s="1"/>
      <c r="AW172" s="1"/>
      <c r="AX172" s="1"/>
      <c r="AY172" s="1"/>
      <c r="AZ172" s="1"/>
      <c r="BA172" s="1"/>
      <c r="BB172" s="1"/>
      <c r="BC172" s="1"/>
      <c r="BD172" s="1"/>
      <c r="BE172" s="1"/>
      <c r="BF172" s="1"/>
      <c r="BG172" s="1"/>
    </row>
    <row r="173" spans="1:59" ht="27" x14ac:dyDescent="0.35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  <c r="AA173" s="1"/>
      <c r="AB173" s="1"/>
      <c r="AC173" s="1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  <c r="AS173" s="1"/>
      <c r="AT173" s="1"/>
      <c r="AU173" s="1"/>
      <c r="AV173" s="1"/>
      <c r="AW173" s="1"/>
      <c r="AX173" s="1"/>
      <c r="AY173" s="1"/>
      <c r="AZ173" s="1"/>
      <c r="BA173" s="1"/>
      <c r="BB173" s="1"/>
      <c r="BC173" s="1"/>
      <c r="BD173" s="1"/>
      <c r="BE173" s="1"/>
      <c r="BF173" s="1"/>
      <c r="BG173" s="1"/>
    </row>
    <row r="174" spans="1:59" ht="27" x14ac:dyDescent="0.35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  <c r="AA174" s="1"/>
      <c r="AB174" s="1"/>
      <c r="AC174" s="1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  <c r="AS174" s="1"/>
      <c r="AT174" s="1"/>
      <c r="AU174" s="1"/>
      <c r="AV174" s="1"/>
      <c r="AW174" s="1"/>
      <c r="AX174" s="1"/>
      <c r="AY174" s="1"/>
      <c r="AZ174" s="1"/>
      <c r="BA174" s="1"/>
      <c r="BB174" s="1"/>
      <c r="BC174" s="1"/>
      <c r="BD174" s="1"/>
      <c r="BE174" s="1"/>
      <c r="BF174" s="1"/>
      <c r="BG174" s="1"/>
    </row>
    <row r="175" spans="1:59" ht="27" x14ac:dyDescent="0.35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  <c r="AA175" s="1"/>
      <c r="AB175" s="1"/>
      <c r="AC175" s="1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  <c r="AS175" s="1"/>
      <c r="AT175" s="1"/>
      <c r="AU175" s="1"/>
      <c r="AV175" s="1"/>
      <c r="AW175" s="1"/>
      <c r="AX175" s="1"/>
      <c r="AY175" s="1"/>
      <c r="AZ175" s="1"/>
      <c r="BA175" s="1"/>
      <c r="BB175" s="1"/>
      <c r="BC175" s="1"/>
      <c r="BD175" s="1"/>
      <c r="BE175" s="1"/>
      <c r="BF175" s="1"/>
      <c r="BG175" s="1"/>
    </row>
    <row r="176" spans="1:59" ht="27" x14ac:dyDescent="0.35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  <c r="AA176" s="1"/>
      <c r="AB176" s="1"/>
      <c r="AC176" s="1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  <c r="AS176" s="1"/>
      <c r="AT176" s="1"/>
      <c r="AU176" s="1"/>
      <c r="AV176" s="1"/>
      <c r="AW176" s="1"/>
      <c r="AX176" s="1"/>
      <c r="AY176" s="1"/>
      <c r="AZ176" s="1"/>
      <c r="BA176" s="1"/>
      <c r="BB176" s="1"/>
      <c r="BC176" s="1"/>
      <c r="BD176" s="1"/>
      <c r="BE176" s="1"/>
      <c r="BF176" s="1"/>
      <c r="BG176" s="1"/>
    </row>
    <row r="177" spans="1:59" ht="27" x14ac:dyDescent="0.35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  <c r="AA177" s="1"/>
      <c r="AB177" s="1"/>
      <c r="AC177" s="1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  <c r="AS177" s="1"/>
      <c r="AT177" s="1"/>
      <c r="AU177" s="1"/>
      <c r="AV177" s="1"/>
      <c r="AW177" s="1"/>
      <c r="AX177" s="1"/>
      <c r="AY177" s="1"/>
      <c r="AZ177" s="1"/>
      <c r="BA177" s="1"/>
      <c r="BB177" s="1"/>
      <c r="BC177" s="1"/>
      <c r="BD177" s="1"/>
      <c r="BE177" s="1"/>
      <c r="BF177" s="1"/>
      <c r="BG177" s="1"/>
    </row>
    <row r="178" spans="1:59" ht="27" x14ac:dyDescent="0.35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  <c r="AA178" s="1"/>
      <c r="AB178" s="1"/>
      <c r="AC178" s="1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  <c r="AS178" s="1"/>
      <c r="AT178" s="1"/>
      <c r="AU178" s="1"/>
      <c r="AV178" s="1"/>
      <c r="AW178" s="1"/>
      <c r="AX178" s="1"/>
      <c r="AY178" s="1"/>
      <c r="AZ178" s="1"/>
      <c r="BA178" s="1"/>
      <c r="BB178" s="1"/>
      <c r="BC178" s="1"/>
      <c r="BD178" s="1"/>
      <c r="BE178" s="1"/>
      <c r="BF178" s="1"/>
      <c r="BG178" s="1"/>
    </row>
    <row r="179" spans="1:59" ht="27" x14ac:dyDescent="0.35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  <c r="AA179" s="1"/>
      <c r="AB179" s="1"/>
      <c r="AC179" s="1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  <c r="AS179" s="1"/>
      <c r="AT179" s="1"/>
      <c r="AU179" s="1"/>
      <c r="AV179" s="1"/>
      <c r="AW179" s="1"/>
      <c r="AX179" s="1"/>
      <c r="AY179" s="1"/>
      <c r="AZ179" s="1"/>
      <c r="BA179" s="1"/>
      <c r="BB179" s="1"/>
      <c r="BC179" s="1"/>
      <c r="BD179" s="1"/>
      <c r="BE179" s="1"/>
      <c r="BF179" s="1"/>
      <c r="BG179" s="1"/>
    </row>
    <row r="180" spans="1:59" ht="27" x14ac:dyDescent="0.35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  <c r="AA180" s="1"/>
      <c r="AB180" s="1"/>
      <c r="AC180" s="1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  <c r="AS180" s="1"/>
      <c r="AT180" s="1"/>
      <c r="AU180" s="1"/>
      <c r="AV180" s="1"/>
      <c r="AW180" s="1"/>
      <c r="AX180" s="1"/>
      <c r="AY180" s="1"/>
      <c r="AZ180" s="1"/>
      <c r="BA180" s="1"/>
      <c r="BB180" s="1"/>
      <c r="BC180" s="1"/>
      <c r="BD180" s="1"/>
      <c r="BE180" s="1"/>
      <c r="BF180" s="1"/>
      <c r="BG180" s="1"/>
    </row>
    <row r="181" spans="1:59" ht="27" x14ac:dyDescent="0.35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</row>
    <row r="182" spans="1:59" ht="27" x14ac:dyDescent="0.35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</row>
    <row r="183" spans="1:59" ht="27" x14ac:dyDescent="0.35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  <c r="AA183" s="1"/>
      <c r="AB183" s="1"/>
      <c r="AC183" s="1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  <c r="AS183" s="1"/>
      <c r="AT183" s="1"/>
      <c r="AU183" s="1"/>
      <c r="AV183" s="1"/>
      <c r="AW183" s="1"/>
      <c r="AX183" s="1"/>
      <c r="AY183" s="1"/>
      <c r="AZ183" s="1"/>
      <c r="BA183" s="1"/>
      <c r="BB183" s="1"/>
      <c r="BC183" s="1"/>
      <c r="BD183" s="1"/>
      <c r="BE183" s="1"/>
      <c r="BF183" s="1"/>
      <c r="BG183" s="1"/>
    </row>
    <row r="184" spans="1:59" ht="27" x14ac:dyDescent="0.35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  <c r="AA184" s="1"/>
      <c r="AB184" s="1"/>
      <c r="AC184" s="1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  <c r="AS184" s="1"/>
      <c r="AT184" s="1"/>
      <c r="AU184" s="1"/>
      <c r="AV184" s="1"/>
      <c r="AW184" s="1"/>
      <c r="AX184" s="1"/>
      <c r="AY184" s="1"/>
      <c r="AZ184" s="1"/>
      <c r="BA184" s="1"/>
      <c r="BB184" s="1"/>
      <c r="BC184" s="1"/>
      <c r="BD184" s="1"/>
      <c r="BE184" s="1"/>
      <c r="BF184" s="1"/>
      <c r="BG184" s="1"/>
    </row>
    <row r="185" spans="1:59" ht="27" x14ac:dyDescent="0.35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  <c r="AA185" s="1"/>
      <c r="AB185" s="1"/>
      <c r="AC185" s="1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  <c r="AS185" s="1"/>
      <c r="AT185" s="1"/>
      <c r="AU185" s="1"/>
      <c r="AV185" s="1"/>
      <c r="AW185" s="1"/>
      <c r="AX185" s="1"/>
      <c r="AY185" s="1"/>
      <c r="AZ185" s="1"/>
      <c r="BA185" s="1"/>
      <c r="BB185" s="1"/>
      <c r="BC185" s="1"/>
      <c r="BD185" s="1"/>
      <c r="BE185" s="1"/>
      <c r="BF185" s="1"/>
      <c r="BG185" s="1"/>
    </row>
    <row r="186" spans="1:59" ht="27" x14ac:dyDescent="0.35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  <c r="AA186" s="1"/>
      <c r="AB186" s="1"/>
      <c r="AC186" s="1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  <c r="AS186" s="1"/>
      <c r="AT186" s="1"/>
      <c r="AU186" s="1"/>
      <c r="AV186" s="1"/>
      <c r="AW186" s="1"/>
      <c r="AX186" s="1"/>
      <c r="AY186" s="1"/>
      <c r="AZ186" s="1"/>
      <c r="BA186" s="1"/>
      <c r="BB186" s="1"/>
      <c r="BC186" s="1"/>
      <c r="BD186" s="1"/>
      <c r="BE186" s="1"/>
      <c r="BF186" s="1"/>
      <c r="BG186" s="1"/>
    </row>
    <row r="187" spans="1:59" ht="27" x14ac:dyDescent="0.35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  <c r="AA187" s="1"/>
      <c r="AB187" s="1"/>
      <c r="AC187" s="1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  <c r="AS187" s="1"/>
      <c r="AT187" s="1"/>
      <c r="AU187" s="1"/>
      <c r="AV187" s="1"/>
      <c r="AW187" s="1"/>
      <c r="AX187" s="1"/>
      <c r="AY187" s="1"/>
      <c r="AZ187" s="1"/>
      <c r="BA187" s="1"/>
      <c r="BB187" s="1"/>
      <c r="BC187" s="1"/>
      <c r="BD187" s="1"/>
      <c r="BE187" s="1"/>
      <c r="BF187" s="1"/>
      <c r="BG187" s="1"/>
    </row>
    <row r="188" spans="1:59" ht="27" x14ac:dyDescent="0.35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  <c r="AA188" s="1"/>
      <c r="AB188" s="1"/>
      <c r="AC188" s="1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  <c r="AS188" s="1"/>
      <c r="AT188" s="1"/>
      <c r="AU188" s="1"/>
      <c r="AV188" s="1"/>
      <c r="AW188" s="1"/>
      <c r="AX188" s="1"/>
      <c r="AY188" s="1"/>
      <c r="AZ188" s="1"/>
      <c r="BA188" s="1"/>
      <c r="BB188" s="1"/>
      <c r="BC188" s="1"/>
      <c r="BD188" s="1"/>
      <c r="BE188" s="1"/>
      <c r="BF188" s="1"/>
      <c r="BG188" s="1"/>
    </row>
    <row r="189" spans="1:59" ht="27" x14ac:dyDescent="0.35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  <c r="AA189" s="1"/>
      <c r="AB189" s="1"/>
      <c r="AC189" s="1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  <c r="AS189" s="1"/>
      <c r="AT189" s="1"/>
      <c r="AU189" s="1"/>
      <c r="AV189" s="1"/>
      <c r="AW189" s="1"/>
      <c r="AX189" s="1"/>
      <c r="AY189" s="1"/>
      <c r="AZ189" s="1"/>
      <c r="BA189" s="1"/>
      <c r="BB189" s="1"/>
      <c r="BC189" s="1"/>
      <c r="BD189" s="1"/>
      <c r="BE189" s="1"/>
      <c r="BF189" s="1"/>
      <c r="BG189" s="1"/>
    </row>
    <row r="190" spans="1:59" ht="27" x14ac:dyDescent="0.35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  <c r="AA190" s="1"/>
      <c r="AB190" s="1"/>
      <c r="AC190" s="1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  <c r="AS190" s="1"/>
      <c r="AT190" s="1"/>
      <c r="AU190" s="1"/>
      <c r="AV190" s="1"/>
      <c r="AW190" s="1"/>
      <c r="AX190" s="1"/>
      <c r="AY190" s="1"/>
      <c r="AZ190" s="1"/>
      <c r="BA190" s="1"/>
      <c r="BB190" s="1"/>
      <c r="BC190" s="1"/>
      <c r="BD190" s="1"/>
      <c r="BE190" s="1"/>
      <c r="BF190" s="1"/>
      <c r="BG190" s="1"/>
    </row>
    <row r="191" spans="1:59" ht="27" x14ac:dyDescent="0.35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  <c r="AA191" s="1"/>
      <c r="AB191" s="1"/>
      <c r="AC191" s="1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  <c r="AS191" s="1"/>
      <c r="AT191" s="1"/>
      <c r="AU191" s="1"/>
      <c r="AV191" s="1"/>
      <c r="AW191" s="1"/>
      <c r="AX191" s="1"/>
      <c r="AY191" s="1"/>
      <c r="AZ191" s="1"/>
      <c r="BA191" s="1"/>
      <c r="BB191" s="1"/>
      <c r="BC191" s="1"/>
      <c r="BD191" s="1"/>
      <c r="BE191" s="1"/>
      <c r="BF191" s="1"/>
      <c r="BG191" s="1"/>
    </row>
    <row r="192" spans="1:59" ht="27" x14ac:dyDescent="0.35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  <c r="AA192" s="1"/>
      <c r="AB192" s="1"/>
      <c r="AC192" s="1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  <c r="AS192" s="1"/>
      <c r="AT192" s="1"/>
      <c r="AU192" s="1"/>
      <c r="AV192" s="1"/>
      <c r="AW192" s="1"/>
      <c r="AX192" s="1"/>
      <c r="AY192" s="1"/>
      <c r="AZ192" s="1"/>
      <c r="BA192" s="1"/>
      <c r="BB192" s="1"/>
      <c r="BC192" s="1"/>
      <c r="BD192" s="1"/>
      <c r="BE192" s="1"/>
      <c r="BF192" s="1"/>
      <c r="BG192" s="1"/>
    </row>
    <row r="193" spans="1:59" ht="27" x14ac:dyDescent="0.35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  <c r="AA193" s="1"/>
      <c r="AB193" s="1"/>
      <c r="AC193" s="1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  <c r="AS193" s="1"/>
      <c r="AT193" s="1"/>
      <c r="AU193" s="1"/>
      <c r="AV193" s="1"/>
      <c r="AW193" s="1"/>
      <c r="AX193" s="1"/>
      <c r="AY193" s="1"/>
      <c r="AZ193" s="1"/>
      <c r="BA193" s="1"/>
      <c r="BB193" s="1"/>
      <c r="BC193" s="1"/>
      <c r="BD193" s="1"/>
      <c r="BE193" s="1"/>
      <c r="BF193" s="1"/>
      <c r="BG193" s="1"/>
    </row>
    <row r="194" spans="1:59" ht="27" x14ac:dyDescent="0.35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  <c r="AA194" s="1"/>
      <c r="AB194" s="1"/>
      <c r="AC194" s="1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  <c r="AS194" s="1"/>
      <c r="AT194" s="1"/>
      <c r="AU194" s="1"/>
      <c r="AV194" s="1"/>
      <c r="AW194" s="1"/>
      <c r="AX194" s="1"/>
      <c r="AY194" s="1"/>
      <c r="AZ194" s="1"/>
      <c r="BA194" s="1"/>
      <c r="BB194" s="1"/>
      <c r="BC194" s="1"/>
      <c r="BD194" s="1"/>
      <c r="BE194" s="1"/>
      <c r="BF194" s="1"/>
      <c r="BG194" s="1"/>
    </row>
    <row r="195" spans="1:59" ht="27" x14ac:dyDescent="0.35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  <c r="AA195" s="1"/>
      <c r="AB195" s="1"/>
      <c r="AC195" s="1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  <c r="AS195" s="1"/>
      <c r="AT195" s="1"/>
      <c r="AU195" s="1"/>
      <c r="AV195" s="1"/>
      <c r="AW195" s="1"/>
      <c r="AX195" s="1"/>
      <c r="AY195" s="1"/>
      <c r="AZ195" s="1"/>
      <c r="BA195" s="1"/>
      <c r="BB195" s="1"/>
      <c r="BC195" s="1"/>
      <c r="BD195" s="1"/>
      <c r="BE195" s="1"/>
      <c r="BF195" s="1"/>
      <c r="BG195" s="1"/>
    </row>
    <row r="196" spans="1:59" ht="27" x14ac:dyDescent="0.35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  <c r="AA196" s="1"/>
      <c r="AB196" s="1"/>
      <c r="AC196" s="1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  <c r="AS196" s="1"/>
      <c r="AT196" s="1"/>
      <c r="AU196" s="1"/>
      <c r="AV196" s="1"/>
      <c r="AW196" s="1"/>
      <c r="AX196" s="1"/>
      <c r="AY196" s="1"/>
      <c r="AZ196" s="1"/>
      <c r="BA196" s="1"/>
      <c r="BB196" s="1"/>
      <c r="BC196" s="1"/>
      <c r="BD196" s="1"/>
      <c r="BE196" s="1"/>
      <c r="BF196" s="1"/>
      <c r="BG196" s="1"/>
    </row>
    <row r="197" spans="1:59" ht="27" x14ac:dyDescent="0.35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  <c r="AA197" s="1"/>
      <c r="AB197" s="1"/>
      <c r="AC197" s="1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  <c r="AS197" s="1"/>
      <c r="AT197" s="1"/>
      <c r="AU197" s="1"/>
      <c r="AV197" s="1"/>
      <c r="AW197" s="1"/>
      <c r="AX197" s="1"/>
      <c r="AY197" s="1"/>
      <c r="AZ197" s="1"/>
      <c r="BA197" s="1"/>
      <c r="BB197" s="1"/>
      <c r="BC197" s="1"/>
      <c r="BD197" s="1"/>
      <c r="BE197" s="1"/>
      <c r="BF197" s="1"/>
      <c r="BG197" s="1"/>
    </row>
    <row r="198" spans="1:59" ht="27" x14ac:dyDescent="0.35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  <c r="AA198" s="1"/>
      <c r="AB198" s="1"/>
      <c r="AC198" s="1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  <c r="AS198" s="1"/>
      <c r="AT198" s="1"/>
      <c r="AU198" s="1"/>
      <c r="AV198" s="1"/>
      <c r="AW198" s="1"/>
      <c r="AX198" s="1"/>
      <c r="AY198" s="1"/>
      <c r="AZ198" s="1"/>
      <c r="BA198" s="1"/>
      <c r="BB198" s="1"/>
      <c r="BC198" s="1"/>
      <c r="BD198" s="1"/>
      <c r="BE198" s="1"/>
      <c r="BF198" s="1"/>
      <c r="BG198" s="1"/>
    </row>
    <row r="199" spans="1:59" ht="27" x14ac:dyDescent="0.35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  <c r="AA199" s="1"/>
      <c r="AB199" s="1"/>
      <c r="AC199" s="1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  <c r="AS199" s="1"/>
      <c r="AT199" s="1"/>
      <c r="AU199" s="1"/>
      <c r="AV199" s="1"/>
      <c r="AW199" s="1"/>
      <c r="AX199" s="1"/>
      <c r="AY199" s="1"/>
      <c r="AZ199" s="1"/>
      <c r="BA199" s="1"/>
      <c r="BB199" s="1"/>
      <c r="BC199" s="1"/>
      <c r="BD199" s="1"/>
      <c r="BE199" s="1"/>
      <c r="BF199" s="1"/>
      <c r="BG199" s="1"/>
    </row>
    <row r="200" spans="1:59" ht="27" x14ac:dyDescent="0.35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  <c r="AA200" s="1"/>
      <c r="AB200" s="1"/>
      <c r="AC200" s="1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  <c r="AS200" s="1"/>
      <c r="AT200" s="1"/>
      <c r="AU200" s="1"/>
      <c r="AV200" s="1"/>
      <c r="AW200" s="1"/>
      <c r="AX200" s="1"/>
      <c r="AY200" s="1"/>
      <c r="AZ200" s="1"/>
      <c r="BA200" s="1"/>
      <c r="BB200" s="1"/>
      <c r="BC200" s="1"/>
      <c r="BD200" s="1"/>
      <c r="BE200" s="1"/>
      <c r="BF200" s="1"/>
      <c r="BG200" s="1"/>
    </row>
    <row r="201" spans="1:59" ht="27" x14ac:dyDescent="0.35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  <c r="AA201" s="1"/>
      <c r="AB201" s="1"/>
      <c r="AC201" s="1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  <c r="AS201" s="1"/>
      <c r="AT201" s="1"/>
      <c r="AU201" s="1"/>
      <c r="AV201" s="1"/>
      <c r="AW201" s="1"/>
      <c r="AX201" s="1"/>
      <c r="AY201" s="1"/>
      <c r="AZ201" s="1"/>
      <c r="BA201" s="1"/>
      <c r="BB201" s="1"/>
      <c r="BC201" s="1"/>
      <c r="BD201" s="1"/>
      <c r="BE201" s="1"/>
      <c r="BF201" s="1"/>
      <c r="BG201" s="1"/>
    </row>
    <row r="202" spans="1:59" ht="27" x14ac:dyDescent="0.35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  <c r="AA202" s="1"/>
      <c r="AB202" s="1"/>
      <c r="AC202" s="1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  <c r="AS202" s="1"/>
      <c r="AT202" s="1"/>
      <c r="AU202" s="1"/>
      <c r="AV202" s="1"/>
      <c r="AW202" s="1"/>
      <c r="AX202" s="1"/>
      <c r="AY202" s="1"/>
      <c r="AZ202" s="1"/>
      <c r="BA202" s="1"/>
      <c r="BB202" s="1"/>
      <c r="BC202" s="1"/>
      <c r="BD202" s="1"/>
      <c r="BE202" s="1"/>
      <c r="BF202" s="1"/>
      <c r="BG202" s="1"/>
    </row>
    <row r="203" spans="1:59" ht="27" x14ac:dyDescent="0.35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  <c r="AA203" s="1"/>
      <c r="AB203" s="1"/>
      <c r="AC203" s="1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  <c r="AS203" s="1"/>
      <c r="AT203" s="1"/>
      <c r="AU203" s="1"/>
      <c r="AV203" s="1"/>
      <c r="AW203" s="1"/>
      <c r="AX203" s="1"/>
      <c r="AY203" s="1"/>
      <c r="AZ203" s="1"/>
      <c r="BA203" s="1"/>
      <c r="BB203" s="1"/>
      <c r="BC203" s="1"/>
      <c r="BD203" s="1"/>
      <c r="BE203" s="1"/>
      <c r="BF203" s="1"/>
      <c r="BG203" s="1"/>
    </row>
    <row r="204" spans="1:59" ht="27" x14ac:dyDescent="0.35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  <c r="AA204" s="1"/>
      <c r="AB204" s="1"/>
      <c r="AC204" s="1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  <c r="AS204" s="1"/>
      <c r="AT204" s="1"/>
      <c r="AU204" s="1"/>
      <c r="AV204" s="1"/>
      <c r="AW204" s="1"/>
      <c r="AX204" s="1"/>
      <c r="AY204" s="1"/>
      <c r="AZ204" s="1"/>
      <c r="BA204" s="1"/>
      <c r="BB204" s="1"/>
      <c r="BC204" s="1"/>
      <c r="BD204" s="1"/>
      <c r="BE204" s="1"/>
      <c r="BF204" s="1"/>
      <c r="BG204" s="1"/>
    </row>
    <row r="205" spans="1:59" ht="27" x14ac:dyDescent="0.35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  <c r="AA205" s="1"/>
      <c r="AB205" s="1"/>
      <c r="AC205" s="1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  <c r="AS205" s="1"/>
      <c r="AT205" s="1"/>
      <c r="AU205" s="1"/>
      <c r="AV205" s="1"/>
      <c r="AW205" s="1"/>
      <c r="AX205" s="1"/>
      <c r="AY205" s="1"/>
      <c r="AZ205" s="1"/>
      <c r="BA205" s="1"/>
      <c r="BB205" s="1"/>
      <c r="BC205" s="1"/>
      <c r="BD205" s="1"/>
      <c r="BE205" s="1"/>
      <c r="BF205" s="1"/>
      <c r="BG205" s="1"/>
    </row>
    <row r="206" spans="1:59" ht="27" x14ac:dyDescent="0.35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  <c r="AA206" s="1"/>
      <c r="AB206" s="1"/>
      <c r="AC206" s="1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  <c r="AS206" s="1"/>
      <c r="AT206" s="1"/>
      <c r="AU206" s="1"/>
      <c r="AV206" s="1"/>
      <c r="AW206" s="1"/>
      <c r="AX206" s="1"/>
      <c r="AY206" s="1"/>
      <c r="AZ206" s="1"/>
      <c r="BA206" s="1"/>
      <c r="BB206" s="1"/>
      <c r="BC206" s="1"/>
      <c r="BD206" s="1"/>
      <c r="BE206" s="1"/>
      <c r="BF206" s="1"/>
      <c r="BG206" s="1"/>
    </row>
    <row r="207" spans="1:59" ht="27" x14ac:dyDescent="0.35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  <c r="AA207" s="1"/>
      <c r="AB207" s="1"/>
      <c r="AC207" s="1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  <c r="AS207" s="1"/>
      <c r="AT207" s="1"/>
      <c r="AU207" s="1"/>
      <c r="AV207" s="1"/>
      <c r="AW207" s="1"/>
      <c r="AX207" s="1"/>
      <c r="AY207" s="1"/>
      <c r="AZ207" s="1"/>
      <c r="BA207" s="1"/>
      <c r="BB207" s="1"/>
      <c r="BC207" s="1"/>
      <c r="BD207" s="1"/>
      <c r="BE207" s="1"/>
      <c r="BF207" s="1"/>
      <c r="BG207" s="1"/>
    </row>
    <row r="208" spans="1:59" ht="27" x14ac:dyDescent="0.35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  <c r="AA208" s="1"/>
      <c r="AB208" s="1"/>
      <c r="AC208" s="1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  <c r="AS208" s="1"/>
      <c r="AT208" s="1"/>
      <c r="AU208" s="1"/>
      <c r="AV208" s="1"/>
      <c r="AW208" s="1"/>
      <c r="AX208" s="1"/>
      <c r="AY208" s="1"/>
      <c r="AZ208" s="1"/>
      <c r="BA208" s="1"/>
      <c r="BB208" s="1"/>
      <c r="BC208" s="1"/>
      <c r="BD208" s="1"/>
      <c r="BE208" s="1"/>
      <c r="BF208" s="1"/>
      <c r="BG208" s="1"/>
    </row>
    <row r="209" spans="1:59" ht="27" x14ac:dyDescent="0.35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  <c r="AA209" s="1"/>
      <c r="AB209" s="1"/>
      <c r="AC209" s="1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  <c r="AS209" s="1"/>
      <c r="AT209" s="1"/>
      <c r="AU209" s="1"/>
      <c r="AV209" s="1"/>
      <c r="AW209" s="1"/>
      <c r="AX209" s="1"/>
      <c r="AY209" s="1"/>
      <c r="AZ209" s="1"/>
      <c r="BA209" s="1"/>
      <c r="BB209" s="1"/>
      <c r="BC209" s="1"/>
      <c r="BD209" s="1"/>
      <c r="BE209" s="1"/>
      <c r="BF209" s="1"/>
      <c r="BG209" s="1"/>
    </row>
    <row r="210" spans="1:59" ht="27" x14ac:dyDescent="0.35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  <c r="AA210" s="1"/>
      <c r="AB210" s="1"/>
      <c r="AC210" s="1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  <c r="AS210" s="1"/>
      <c r="AT210" s="1"/>
      <c r="AU210" s="1"/>
      <c r="AV210" s="1"/>
      <c r="AW210" s="1"/>
      <c r="AX210" s="1"/>
      <c r="AY210" s="1"/>
      <c r="AZ210" s="1"/>
      <c r="BA210" s="1"/>
      <c r="BB210" s="1"/>
      <c r="BC210" s="1"/>
      <c r="BD210" s="1"/>
      <c r="BE210" s="1"/>
      <c r="BF210" s="1"/>
      <c r="BG210" s="1"/>
    </row>
    <row r="211" spans="1:59" ht="27" x14ac:dyDescent="0.35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  <c r="AA211" s="1"/>
      <c r="AB211" s="1"/>
      <c r="AC211" s="1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  <c r="AS211" s="1"/>
      <c r="AT211" s="1"/>
      <c r="AU211" s="1"/>
      <c r="AV211" s="1"/>
      <c r="AW211" s="1"/>
      <c r="AX211" s="1"/>
      <c r="AY211" s="1"/>
      <c r="AZ211" s="1"/>
      <c r="BA211" s="1"/>
      <c r="BB211" s="1"/>
      <c r="BC211" s="1"/>
      <c r="BD211" s="1"/>
      <c r="BE211" s="1"/>
      <c r="BF211" s="1"/>
      <c r="BG211" s="1"/>
    </row>
    <row r="212" spans="1:59" ht="27" x14ac:dyDescent="0.35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  <c r="AA212" s="1"/>
      <c r="AB212" s="1"/>
      <c r="AC212" s="1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  <c r="AS212" s="1"/>
      <c r="AT212" s="1"/>
      <c r="AU212" s="1"/>
      <c r="AV212" s="1"/>
      <c r="AW212" s="1"/>
      <c r="AX212" s="1"/>
      <c r="AY212" s="1"/>
      <c r="AZ212" s="1"/>
      <c r="BA212" s="1"/>
      <c r="BB212" s="1"/>
      <c r="BC212" s="1"/>
      <c r="BD212" s="1"/>
      <c r="BE212" s="1"/>
      <c r="BF212" s="1"/>
      <c r="BG212" s="1"/>
    </row>
    <row r="213" spans="1:59" ht="27" x14ac:dyDescent="0.35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  <c r="AA213" s="1"/>
      <c r="AB213" s="1"/>
      <c r="AC213" s="1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  <c r="AS213" s="1"/>
      <c r="AT213" s="1"/>
      <c r="AU213" s="1"/>
      <c r="AV213" s="1"/>
      <c r="AW213" s="1"/>
      <c r="AX213" s="1"/>
      <c r="AY213" s="1"/>
      <c r="AZ213" s="1"/>
      <c r="BA213" s="1"/>
      <c r="BB213" s="1"/>
      <c r="BC213" s="1"/>
      <c r="BD213" s="1"/>
      <c r="BE213" s="1"/>
      <c r="BF213" s="1"/>
      <c r="BG213" s="1"/>
    </row>
    <row r="214" spans="1:59" ht="27" x14ac:dyDescent="0.35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  <c r="AA214" s="1"/>
      <c r="AB214" s="1"/>
      <c r="AC214" s="1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  <c r="AS214" s="1"/>
      <c r="AT214" s="1"/>
      <c r="AU214" s="1"/>
      <c r="AV214" s="1"/>
      <c r="AW214" s="1"/>
      <c r="AX214" s="1"/>
      <c r="AY214" s="1"/>
      <c r="AZ214" s="1"/>
      <c r="BA214" s="1"/>
      <c r="BB214" s="1"/>
      <c r="BC214" s="1"/>
      <c r="BD214" s="1"/>
      <c r="BE214" s="1"/>
      <c r="BF214" s="1"/>
      <c r="BG214" s="1"/>
    </row>
    <row r="215" spans="1:59" ht="27" x14ac:dyDescent="0.35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  <c r="AA215" s="1"/>
      <c r="AB215" s="1"/>
      <c r="AC215" s="1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  <c r="AS215" s="1"/>
      <c r="AT215" s="1"/>
      <c r="AU215" s="1"/>
      <c r="AV215" s="1"/>
      <c r="AW215" s="1"/>
      <c r="AX215" s="1"/>
      <c r="AY215" s="1"/>
      <c r="AZ215" s="1"/>
      <c r="BA215" s="1"/>
      <c r="BB215" s="1"/>
      <c r="BC215" s="1"/>
      <c r="BD215" s="1"/>
      <c r="BE215" s="1"/>
      <c r="BF215" s="1"/>
      <c r="BG215" s="1"/>
    </row>
    <row r="216" spans="1:59" ht="27" x14ac:dyDescent="0.35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  <c r="AA216" s="1"/>
      <c r="AB216" s="1"/>
      <c r="AC216" s="1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  <c r="AS216" s="1"/>
      <c r="AT216" s="1"/>
      <c r="AU216" s="1"/>
      <c r="AV216" s="1"/>
      <c r="AW216" s="1"/>
      <c r="AX216" s="1"/>
      <c r="AY216" s="1"/>
      <c r="AZ216" s="1"/>
      <c r="BA216" s="1"/>
      <c r="BB216" s="1"/>
      <c r="BC216" s="1"/>
      <c r="BD216" s="1"/>
      <c r="BE216" s="1"/>
      <c r="BF216" s="1"/>
      <c r="BG216" s="1"/>
    </row>
    <row r="217" spans="1:59" ht="27" x14ac:dyDescent="0.35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  <c r="AA217" s="1"/>
      <c r="AB217" s="1"/>
      <c r="AC217" s="1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  <c r="AS217" s="1"/>
      <c r="AT217" s="1"/>
      <c r="AU217" s="1"/>
      <c r="AV217" s="1"/>
      <c r="AW217" s="1"/>
      <c r="AX217" s="1"/>
      <c r="AY217" s="1"/>
      <c r="AZ217" s="1"/>
      <c r="BA217" s="1"/>
      <c r="BB217" s="1"/>
      <c r="BC217" s="1"/>
      <c r="BD217" s="1"/>
      <c r="BE217" s="1"/>
      <c r="BF217" s="1"/>
      <c r="BG217" s="1"/>
    </row>
    <row r="218" spans="1:59" ht="27" x14ac:dyDescent="0.35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  <c r="AA218" s="1"/>
      <c r="AB218" s="1"/>
      <c r="AC218" s="1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  <c r="AS218" s="1"/>
      <c r="AT218" s="1"/>
      <c r="AU218" s="1"/>
      <c r="AV218" s="1"/>
      <c r="AW218" s="1"/>
      <c r="AX218" s="1"/>
      <c r="AY218" s="1"/>
      <c r="AZ218" s="1"/>
      <c r="BA218" s="1"/>
      <c r="BB218" s="1"/>
      <c r="BC218" s="1"/>
      <c r="BD218" s="1"/>
      <c r="BE218" s="1"/>
      <c r="BF218" s="1"/>
      <c r="BG218" s="1"/>
    </row>
    <row r="219" spans="1:59" ht="27" x14ac:dyDescent="0.35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  <c r="AA219" s="1"/>
      <c r="AB219" s="1"/>
      <c r="AC219" s="1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  <c r="AS219" s="1"/>
      <c r="AT219" s="1"/>
      <c r="AU219" s="1"/>
      <c r="AV219" s="1"/>
      <c r="AW219" s="1"/>
      <c r="AX219" s="1"/>
      <c r="AY219" s="1"/>
      <c r="AZ219" s="1"/>
      <c r="BA219" s="1"/>
      <c r="BB219" s="1"/>
      <c r="BC219" s="1"/>
      <c r="BD219" s="1"/>
      <c r="BE219" s="1"/>
      <c r="BF219" s="1"/>
      <c r="BG219" s="1"/>
    </row>
    <row r="220" spans="1:59" ht="27" x14ac:dyDescent="0.35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  <c r="AA220" s="1"/>
      <c r="AB220" s="1"/>
      <c r="AC220" s="1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  <c r="AS220" s="1"/>
      <c r="AT220" s="1"/>
      <c r="AU220" s="1"/>
      <c r="AV220" s="1"/>
      <c r="AW220" s="1"/>
      <c r="AX220" s="1"/>
      <c r="AY220" s="1"/>
      <c r="AZ220" s="1"/>
      <c r="BA220" s="1"/>
      <c r="BB220" s="1"/>
      <c r="BC220" s="1"/>
      <c r="BD220" s="1"/>
      <c r="BE220" s="1"/>
      <c r="BF220" s="1"/>
      <c r="BG220" s="1"/>
    </row>
    <row r="221" spans="1:59" ht="27" x14ac:dyDescent="0.35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  <c r="AS221" s="1"/>
      <c r="AT221" s="1"/>
      <c r="AU221" s="1"/>
      <c r="AV221" s="1"/>
      <c r="AW221" s="1"/>
      <c r="AX221" s="1"/>
      <c r="AY221" s="1"/>
      <c r="AZ221" s="1"/>
      <c r="BA221" s="1"/>
      <c r="BB221" s="1"/>
      <c r="BC221" s="1"/>
      <c r="BD221" s="1"/>
      <c r="BE221" s="1"/>
      <c r="BF221" s="1"/>
      <c r="BG221" s="1"/>
    </row>
    <row r="222" spans="1:59" ht="27" x14ac:dyDescent="0.35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  <c r="AS222" s="1"/>
      <c r="AT222" s="1"/>
      <c r="AU222" s="1"/>
      <c r="AV222" s="1"/>
      <c r="AW222" s="1"/>
      <c r="AX222" s="1"/>
      <c r="AY222" s="1"/>
      <c r="AZ222" s="1"/>
      <c r="BA222" s="1"/>
      <c r="BB222" s="1"/>
      <c r="BC222" s="1"/>
      <c r="BD222" s="1"/>
      <c r="BE222" s="1"/>
      <c r="BF222" s="1"/>
      <c r="BG222" s="1"/>
    </row>
    <row r="223" spans="1:59" ht="27" x14ac:dyDescent="0.35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  <c r="AS223" s="1"/>
      <c r="AT223" s="1"/>
      <c r="AU223" s="1"/>
      <c r="AV223" s="1"/>
      <c r="AW223" s="1"/>
      <c r="AX223" s="1"/>
      <c r="AY223" s="1"/>
      <c r="AZ223" s="1"/>
      <c r="BA223" s="1"/>
      <c r="BB223" s="1"/>
      <c r="BC223" s="1"/>
      <c r="BD223" s="1"/>
      <c r="BE223" s="1"/>
      <c r="BF223" s="1"/>
      <c r="BG223" s="1"/>
    </row>
    <row r="224" spans="1:59" ht="27" x14ac:dyDescent="0.35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  <c r="AS224" s="1"/>
      <c r="AT224" s="1"/>
      <c r="AU224" s="1"/>
      <c r="AV224" s="1"/>
      <c r="AW224" s="1"/>
      <c r="AX224" s="1"/>
      <c r="AY224" s="1"/>
      <c r="AZ224" s="1"/>
      <c r="BA224" s="1"/>
      <c r="BB224" s="1"/>
      <c r="BC224" s="1"/>
      <c r="BD224" s="1"/>
      <c r="BE224" s="1"/>
      <c r="BF224" s="1"/>
      <c r="BG224" s="1"/>
    </row>
    <row r="225" spans="1:59" ht="27" x14ac:dyDescent="0.35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  <c r="AS225" s="1"/>
      <c r="AT225" s="1"/>
      <c r="AU225" s="1"/>
      <c r="AV225" s="1"/>
      <c r="AW225" s="1"/>
      <c r="AX225" s="1"/>
      <c r="AY225" s="1"/>
      <c r="AZ225" s="1"/>
      <c r="BA225" s="1"/>
      <c r="BB225" s="1"/>
      <c r="BC225" s="1"/>
      <c r="BD225" s="1"/>
      <c r="BE225" s="1"/>
      <c r="BF225" s="1"/>
      <c r="BG225" s="1"/>
    </row>
    <row r="226" spans="1:59" ht="27" x14ac:dyDescent="0.35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  <c r="AA226" s="1"/>
      <c r="AB226" s="1"/>
      <c r="AC226" s="1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  <c r="AS226" s="1"/>
      <c r="AT226" s="1"/>
      <c r="AU226" s="1"/>
      <c r="AV226" s="1"/>
      <c r="AW226" s="1"/>
      <c r="AX226" s="1"/>
      <c r="AY226" s="1"/>
      <c r="AZ226" s="1"/>
      <c r="BA226" s="1"/>
      <c r="BB226" s="1"/>
      <c r="BC226" s="1"/>
      <c r="BD226" s="1"/>
      <c r="BE226" s="1"/>
      <c r="BF226" s="1"/>
      <c r="BG226" s="1"/>
    </row>
    <row r="227" spans="1:59" ht="27" x14ac:dyDescent="0.35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  <c r="AA227" s="1"/>
      <c r="AB227" s="1"/>
      <c r="AC227" s="1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  <c r="AS227" s="1"/>
      <c r="AT227" s="1"/>
      <c r="AU227" s="1"/>
      <c r="AV227" s="1"/>
      <c r="AW227" s="1"/>
      <c r="AX227" s="1"/>
      <c r="AY227" s="1"/>
      <c r="AZ227" s="1"/>
      <c r="BA227" s="1"/>
      <c r="BB227" s="1"/>
      <c r="BC227" s="1"/>
      <c r="BD227" s="1"/>
      <c r="BE227" s="1"/>
      <c r="BF227" s="1"/>
      <c r="BG227" s="1"/>
    </row>
    <row r="228" spans="1:59" ht="27" x14ac:dyDescent="0.35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  <c r="AA228" s="1"/>
      <c r="AB228" s="1"/>
      <c r="AC228" s="1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  <c r="AS228" s="1"/>
      <c r="AT228" s="1"/>
      <c r="AU228" s="1"/>
      <c r="AV228" s="1"/>
      <c r="AW228" s="1"/>
      <c r="AX228" s="1"/>
      <c r="AY228" s="1"/>
      <c r="AZ228" s="1"/>
      <c r="BA228" s="1"/>
      <c r="BB228" s="1"/>
      <c r="BC228" s="1"/>
      <c r="BD228" s="1"/>
      <c r="BE228" s="1"/>
      <c r="BF228" s="1"/>
      <c r="BG228" s="1"/>
    </row>
    <row r="229" spans="1:59" ht="27" x14ac:dyDescent="0.35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  <c r="AA229" s="1"/>
      <c r="AB229" s="1"/>
      <c r="AC229" s="1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  <c r="AS229" s="1"/>
      <c r="AT229" s="1"/>
      <c r="AU229" s="1"/>
      <c r="AV229" s="1"/>
      <c r="AW229" s="1"/>
      <c r="AX229" s="1"/>
      <c r="AY229" s="1"/>
      <c r="AZ229" s="1"/>
      <c r="BA229" s="1"/>
      <c r="BB229" s="1"/>
      <c r="BC229" s="1"/>
      <c r="BD229" s="1"/>
      <c r="BE229" s="1"/>
      <c r="BF229" s="1"/>
      <c r="BG229" s="1"/>
    </row>
    <row r="230" spans="1:59" ht="27" x14ac:dyDescent="0.35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  <c r="AA230" s="1"/>
      <c r="AB230" s="1"/>
      <c r="AC230" s="1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  <c r="AS230" s="1"/>
      <c r="AT230" s="1"/>
      <c r="AU230" s="1"/>
      <c r="AV230" s="1"/>
      <c r="AW230" s="1"/>
      <c r="AX230" s="1"/>
      <c r="AY230" s="1"/>
      <c r="AZ230" s="1"/>
      <c r="BA230" s="1"/>
      <c r="BB230" s="1"/>
      <c r="BC230" s="1"/>
      <c r="BD230" s="1"/>
      <c r="BE230" s="1"/>
      <c r="BF230" s="1"/>
      <c r="BG230" s="1"/>
    </row>
    <row r="231" spans="1:59" ht="27" x14ac:dyDescent="0.35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  <c r="AA231" s="1"/>
      <c r="AB231" s="1"/>
      <c r="AC231" s="1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  <c r="AS231" s="1"/>
      <c r="AT231" s="1"/>
      <c r="AU231" s="1"/>
      <c r="AV231" s="1"/>
      <c r="AW231" s="1"/>
      <c r="AX231" s="1"/>
      <c r="AY231" s="1"/>
      <c r="AZ231" s="1"/>
      <c r="BA231" s="1"/>
      <c r="BB231" s="1"/>
      <c r="BC231" s="1"/>
      <c r="BD231" s="1"/>
      <c r="BE231" s="1"/>
      <c r="BF231" s="1"/>
      <c r="BG231" s="1"/>
    </row>
    <row r="232" spans="1:59" ht="27" x14ac:dyDescent="0.35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  <c r="AA232" s="1"/>
      <c r="AB232" s="1"/>
      <c r="AC232" s="1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  <c r="AS232" s="1"/>
      <c r="AT232" s="1"/>
      <c r="AU232" s="1"/>
      <c r="AV232" s="1"/>
      <c r="AW232" s="1"/>
      <c r="AX232" s="1"/>
      <c r="AY232" s="1"/>
      <c r="AZ232" s="1"/>
      <c r="BA232" s="1"/>
      <c r="BB232" s="1"/>
      <c r="BC232" s="1"/>
      <c r="BD232" s="1"/>
      <c r="BE232" s="1"/>
      <c r="BF232" s="1"/>
      <c r="BG232" s="1"/>
    </row>
    <row r="233" spans="1:59" ht="27" x14ac:dyDescent="0.35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  <c r="AA233" s="1"/>
      <c r="AB233" s="1"/>
      <c r="AC233" s="1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  <c r="AS233" s="1"/>
      <c r="AT233" s="1"/>
      <c r="AU233" s="1"/>
      <c r="AV233" s="1"/>
      <c r="AW233" s="1"/>
      <c r="AX233" s="1"/>
      <c r="AY233" s="1"/>
      <c r="AZ233" s="1"/>
      <c r="BA233" s="1"/>
      <c r="BB233" s="1"/>
      <c r="BC233" s="1"/>
      <c r="BD233" s="1"/>
      <c r="BE233" s="1"/>
      <c r="BF233" s="1"/>
      <c r="BG233" s="1"/>
    </row>
    <row r="234" spans="1:59" ht="27" x14ac:dyDescent="0.35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  <c r="AA234" s="1"/>
      <c r="AB234" s="1"/>
      <c r="AC234" s="1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  <c r="AS234" s="1"/>
      <c r="AT234" s="1"/>
      <c r="AU234" s="1"/>
      <c r="AV234" s="1"/>
      <c r="AW234" s="1"/>
      <c r="AX234" s="1"/>
      <c r="AY234" s="1"/>
      <c r="AZ234" s="1"/>
      <c r="BA234" s="1"/>
      <c r="BB234" s="1"/>
      <c r="BC234" s="1"/>
      <c r="BD234" s="1"/>
      <c r="BE234" s="1"/>
      <c r="BF234" s="1"/>
      <c r="BG234" s="1"/>
    </row>
    <row r="235" spans="1:59" ht="27" x14ac:dyDescent="0.35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  <c r="AA235" s="1"/>
      <c r="AB235" s="1"/>
      <c r="AC235" s="1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  <c r="AS235" s="1"/>
      <c r="AT235" s="1"/>
      <c r="AU235" s="1"/>
      <c r="AV235" s="1"/>
      <c r="AW235" s="1"/>
      <c r="AX235" s="1"/>
      <c r="AY235" s="1"/>
      <c r="AZ235" s="1"/>
      <c r="BA235" s="1"/>
      <c r="BB235" s="1"/>
      <c r="BC235" s="1"/>
      <c r="BD235" s="1"/>
      <c r="BE235" s="1"/>
      <c r="BF235" s="1"/>
      <c r="BG235" s="1"/>
    </row>
    <row r="236" spans="1:59" ht="27" x14ac:dyDescent="0.35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  <c r="AA236" s="1"/>
      <c r="AB236" s="1"/>
      <c r="AC236" s="1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  <c r="AS236" s="1"/>
      <c r="AT236" s="1"/>
      <c r="AU236" s="1"/>
      <c r="AV236" s="1"/>
      <c r="AW236" s="1"/>
      <c r="AX236" s="1"/>
      <c r="AY236" s="1"/>
      <c r="AZ236" s="1"/>
      <c r="BA236" s="1"/>
      <c r="BB236" s="1"/>
      <c r="BC236" s="1"/>
      <c r="BD236" s="1"/>
      <c r="BE236" s="1"/>
      <c r="BF236" s="1"/>
      <c r="BG236" s="1"/>
    </row>
    <row r="237" spans="1:59" ht="27" x14ac:dyDescent="0.35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  <c r="AA237" s="1"/>
      <c r="AB237" s="1"/>
      <c r="AC237" s="1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  <c r="AS237" s="1"/>
      <c r="AT237" s="1"/>
      <c r="AU237" s="1"/>
      <c r="AV237" s="1"/>
      <c r="AW237" s="1"/>
      <c r="AX237" s="1"/>
      <c r="AY237" s="1"/>
      <c r="AZ237" s="1"/>
      <c r="BA237" s="1"/>
      <c r="BB237" s="1"/>
      <c r="BC237" s="1"/>
      <c r="BD237" s="1"/>
      <c r="BE237" s="1"/>
      <c r="BF237" s="1"/>
      <c r="BG237" s="1"/>
    </row>
    <row r="238" spans="1:59" ht="27" x14ac:dyDescent="0.35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  <c r="AA238" s="1"/>
      <c r="AB238" s="1"/>
      <c r="AC238" s="1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  <c r="AS238" s="1"/>
      <c r="AT238" s="1"/>
      <c r="AU238" s="1"/>
      <c r="AV238" s="1"/>
      <c r="AW238" s="1"/>
      <c r="AX238" s="1"/>
      <c r="AY238" s="1"/>
      <c r="AZ238" s="1"/>
      <c r="BA238" s="1"/>
      <c r="BB238" s="1"/>
      <c r="BC238" s="1"/>
      <c r="BD238" s="1"/>
      <c r="BE238" s="1"/>
      <c r="BF238" s="1"/>
      <c r="BG238" s="1"/>
    </row>
    <row r="239" spans="1:59" ht="27" x14ac:dyDescent="0.35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  <c r="AA239" s="1"/>
      <c r="AB239" s="1"/>
      <c r="AC239" s="1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  <c r="AS239" s="1"/>
      <c r="AT239" s="1"/>
      <c r="AU239" s="1"/>
      <c r="AV239" s="1"/>
      <c r="AW239" s="1"/>
      <c r="AX239" s="1"/>
      <c r="AY239" s="1"/>
      <c r="AZ239" s="1"/>
      <c r="BA239" s="1"/>
      <c r="BB239" s="1"/>
      <c r="BC239" s="1"/>
      <c r="BD239" s="1"/>
      <c r="BE239" s="1"/>
      <c r="BF239" s="1"/>
      <c r="BG239" s="1"/>
    </row>
    <row r="240" spans="1:59" ht="27" x14ac:dyDescent="0.35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  <c r="AA240" s="1"/>
      <c r="AB240" s="1"/>
      <c r="AC240" s="1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  <c r="AS240" s="1"/>
      <c r="AT240" s="1"/>
      <c r="AU240" s="1"/>
      <c r="AV240" s="1"/>
      <c r="AW240" s="1"/>
      <c r="AX240" s="1"/>
      <c r="AY240" s="1"/>
      <c r="AZ240" s="1"/>
      <c r="BA240" s="1"/>
      <c r="BB240" s="1"/>
      <c r="BC240" s="1"/>
      <c r="BD240" s="1"/>
      <c r="BE240" s="1"/>
      <c r="BF240" s="1"/>
      <c r="BG240" s="1"/>
    </row>
    <row r="241" spans="1:59" ht="27" x14ac:dyDescent="0.35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  <c r="AA241" s="1"/>
      <c r="AB241" s="1"/>
      <c r="AC241" s="1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  <c r="AS241" s="1"/>
      <c r="AT241" s="1"/>
      <c r="AU241" s="1"/>
      <c r="AV241" s="1"/>
      <c r="AW241" s="1"/>
      <c r="AX241" s="1"/>
      <c r="AY241" s="1"/>
      <c r="AZ241" s="1"/>
      <c r="BA241" s="1"/>
      <c r="BB241" s="1"/>
      <c r="BC241" s="1"/>
      <c r="BD241" s="1"/>
      <c r="BE241" s="1"/>
      <c r="BF241" s="1"/>
      <c r="BG241" s="1"/>
    </row>
    <row r="242" spans="1:59" ht="27" x14ac:dyDescent="0.35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  <c r="AA242" s="1"/>
      <c r="AB242" s="1"/>
      <c r="AC242" s="1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  <c r="AS242" s="1"/>
      <c r="AT242" s="1"/>
      <c r="AU242" s="1"/>
      <c r="AV242" s="1"/>
      <c r="AW242" s="1"/>
      <c r="AX242" s="1"/>
      <c r="AY242" s="1"/>
      <c r="AZ242" s="1"/>
      <c r="BA242" s="1"/>
      <c r="BB242" s="1"/>
      <c r="BC242" s="1"/>
      <c r="BD242" s="1"/>
      <c r="BE242" s="1"/>
      <c r="BF242" s="1"/>
      <c r="BG242" s="1"/>
    </row>
    <row r="243" spans="1:59" ht="27" x14ac:dyDescent="0.35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  <c r="AA243" s="1"/>
      <c r="AB243" s="1"/>
      <c r="AC243" s="1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  <c r="AS243" s="1"/>
      <c r="AT243" s="1"/>
      <c r="AU243" s="1"/>
      <c r="AV243" s="1"/>
      <c r="AW243" s="1"/>
      <c r="AX243" s="1"/>
      <c r="AY243" s="1"/>
      <c r="AZ243" s="1"/>
      <c r="BA243" s="1"/>
      <c r="BB243" s="1"/>
      <c r="BC243" s="1"/>
      <c r="BD243" s="1"/>
      <c r="BE243" s="1"/>
      <c r="BF243" s="1"/>
      <c r="BG243" s="1"/>
    </row>
    <row r="244" spans="1:59" ht="27" x14ac:dyDescent="0.35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  <c r="AA244" s="1"/>
      <c r="AB244" s="1"/>
      <c r="AC244" s="1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  <c r="AS244" s="1"/>
      <c r="AT244" s="1"/>
      <c r="AU244" s="1"/>
      <c r="AV244" s="1"/>
      <c r="AW244" s="1"/>
      <c r="AX244" s="1"/>
      <c r="AY244" s="1"/>
      <c r="AZ244" s="1"/>
      <c r="BA244" s="1"/>
      <c r="BB244" s="1"/>
      <c r="BC244" s="1"/>
      <c r="BD244" s="1"/>
      <c r="BE244" s="1"/>
      <c r="BF244" s="1"/>
      <c r="BG244" s="1"/>
    </row>
    <row r="245" spans="1:59" ht="27" x14ac:dyDescent="0.35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  <c r="AA245" s="1"/>
      <c r="AB245" s="1"/>
      <c r="AC245" s="1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  <c r="AS245" s="1"/>
      <c r="AT245" s="1"/>
      <c r="AU245" s="1"/>
      <c r="AV245" s="1"/>
      <c r="AW245" s="1"/>
      <c r="AX245" s="1"/>
      <c r="AY245" s="1"/>
      <c r="AZ245" s="1"/>
      <c r="BA245" s="1"/>
      <c r="BB245" s="1"/>
      <c r="BC245" s="1"/>
      <c r="BD245" s="1"/>
      <c r="BE245" s="1"/>
      <c r="BF245" s="1"/>
      <c r="BG245" s="1"/>
    </row>
    <row r="246" spans="1:59" ht="27" x14ac:dyDescent="0.35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  <c r="AA246" s="1"/>
      <c r="AB246" s="1"/>
      <c r="AC246" s="1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  <c r="AS246" s="1"/>
      <c r="AT246" s="1"/>
      <c r="AU246" s="1"/>
      <c r="AV246" s="1"/>
      <c r="AW246" s="1"/>
      <c r="AX246" s="1"/>
      <c r="AY246" s="1"/>
      <c r="AZ246" s="1"/>
      <c r="BA246" s="1"/>
      <c r="BB246" s="1"/>
      <c r="BC246" s="1"/>
      <c r="BD246" s="1"/>
      <c r="BE246" s="1"/>
      <c r="BF246" s="1"/>
      <c r="BG246" s="1"/>
    </row>
    <row r="247" spans="1:59" ht="27" x14ac:dyDescent="0.35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  <c r="AA247" s="1"/>
      <c r="AB247" s="1"/>
      <c r="AC247" s="1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  <c r="AS247" s="1"/>
      <c r="AT247" s="1"/>
      <c r="AU247" s="1"/>
      <c r="AV247" s="1"/>
      <c r="AW247" s="1"/>
      <c r="AX247" s="1"/>
      <c r="AY247" s="1"/>
      <c r="AZ247" s="1"/>
      <c r="BA247" s="1"/>
      <c r="BB247" s="1"/>
      <c r="BC247" s="1"/>
      <c r="BD247" s="1"/>
      <c r="BE247" s="1"/>
      <c r="BF247" s="1"/>
      <c r="BG247" s="1"/>
    </row>
    <row r="248" spans="1:59" ht="27" x14ac:dyDescent="0.35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  <c r="AA248" s="1"/>
      <c r="AB248" s="1"/>
      <c r="AC248" s="1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  <c r="AS248" s="1"/>
      <c r="AT248" s="1"/>
      <c r="AU248" s="1"/>
      <c r="AV248" s="1"/>
      <c r="AW248" s="1"/>
      <c r="AX248" s="1"/>
      <c r="AY248" s="1"/>
      <c r="AZ248" s="1"/>
      <c r="BA248" s="1"/>
      <c r="BB248" s="1"/>
      <c r="BC248" s="1"/>
      <c r="BD248" s="1"/>
      <c r="BE248" s="1"/>
      <c r="BF248" s="1"/>
      <c r="BG248" s="1"/>
    </row>
    <row r="249" spans="1:59" ht="27" x14ac:dyDescent="0.35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  <c r="AA249" s="1"/>
      <c r="AB249" s="1"/>
      <c r="AC249" s="1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  <c r="AS249" s="1"/>
      <c r="AT249" s="1"/>
      <c r="AU249" s="1"/>
      <c r="AV249" s="1"/>
      <c r="AW249" s="1"/>
      <c r="AX249" s="1"/>
      <c r="AY249" s="1"/>
      <c r="AZ249" s="1"/>
      <c r="BA249" s="1"/>
      <c r="BB249" s="1"/>
      <c r="BC249" s="1"/>
      <c r="BD249" s="1"/>
      <c r="BE249" s="1"/>
      <c r="BF249" s="1"/>
      <c r="BG249" s="1"/>
    </row>
    <row r="250" spans="1:59" ht="27" x14ac:dyDescent="0.35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  <c r="AA250" s="1"/>
      <c r="AB250" s="1"/>
      <c r="AC250" s="1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  <c r="AS250" s="1"/>
      <c r="AT250" s="1"/>
      <c r="AU250" s="1"/>
      <c r="AV250" s="1"/>
      <c r="AW250" s="1"/>
      <c r="AX250" s="1"/>
      <c r="AY250" s="1"/>
      <c r="AZ250" s="1"/>
      <c r="BA250" s="1"/>
      <c r="BB250" s="1"/>
      <c r="BC250" s="1"/>
      <c r="BD250" s="1"/>
      <c r="BE250" s="1"/>
      <c r="BF250" s="1"/>
      <c r="BG250" s="1"/>
    </row>
    <row r="251" spans="1:59" ht="27" x14ac:dyDescent="0.35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  <c r="AA251" s="1"/>
      <c r="AB251" s="1"/>
      <c r="AC251" s="1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  <c r="AS251" s="1"/>
      <c r="AT251" s="1"/>
      <c r="AU251" s="1"/>
      <c r="AV251" s="1"/>
      <c r="AW251" s="1"/>
      <c r="AX251" s="1"/>
      <c r="AY251" s="1"/>
      <c r="AZ251" s="1"/>
      <c r="BA251" s="1"/>
      <c r="BB251" s="1"/>
      <c r="BC251" s="1"/>
      <c r="BD251" s="1"/>
      <c r="BE251" s="1"/>
      <c r="BF251" s="1"/>
      <c r="BG251" s="1"/>
    </row>
    <row r="252" spans="1:59" ht="27" x14ac:dyDescent="0.35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  <c r="AA252" s="1"/>
      <c r="AB252" s="1"/>
      <c r="AC252" s="1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  <c r="AS252" s="1"/>
      <c r="AT252" s="1"/>
      <c r="AU252" s="1"/>
      <c r="AV252" s="1"/>
      <c r="AW252" s="1"/>
      <c r="AX252" s="1"/>
      <c r="AY252" s="1"/>
      <c r="AZ252" s="1"/>
      <c r="BA252" s="1"/>
      <c r="BB252" s="1"/>
      <c r="BC252" s="1"/>
      <c r="BD252" s="1"/>
      <c r="BE252" s="1"/>
      <c r="BF252" s="1"/>
      <c r="BG252" s="1"/>
    </row>
    <row r="253" spans="1:59" ht="27" x14ac:dyDescent="0.35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  <c r="AA253" s="1"/>
      <c r="AB253" s="1"/>
      <c r="AC253" s="1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  <c r="AS253" s="1"/>
      <c r="AT253" s="1"/>
      <c r="AU253" s="1"/>
      <c r="AV253" s="1"/>
      <c r="AW253" s="1"/>
      <c r="AX253" s="1"/>
      <c r="AY253" s="1"/>
      <c r="AZ253" s="1"/>
      <c r="BA253" s="1"/>
      <c r="BB253" s="1"/>
      <c r="BC253" s="1"/>
      <c r="BD253" s="1"/>
      <c r="BE253" s="1"/>
      <c r="BF253" s="1"/>
      <c r="BG253" s="1"/>
    </row>
    <row r="254" spans="1:59" ht="27" x14ac:dyDescent="0.35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  <c r="AA254" s="1"/>
      <c r="AB254" s="1"/>
      <c r="AC254" s="1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  <c r="AS254" s="1"/>
      <c r="AT254" s="1"/>
      <c r="AU254" s="1"/>
      <c r="AV254" s="1"/>
      <c r="AW254" s="1"/>
      <c r="AX254" s="1"/>
      <c r="AY254" s="1"/>
      <c r="AZ254" s="1"/>
      <c r="BA254" s="1"/>
      <c r="BB254" s="1"/>
      <c r="BC254" s="1"/>
      <c r="BD254" s="1"/>
      <c r="BE254" s="1"/>
      <c r="BF254" s="1"/>
      <c r="BG254" s="1"/>
    </row>
    <row r="255" spans="1:59" ht="27" x14ac:dyDescent="0.35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  <c r="AA255" s="1"/>
      <c r="AB255" s="1"/>
      <c r="AC255" s="1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  <c r="AS255" s="1"/>
      <c r="AT255" s="1"/>
      <c r="AU255" s="1"/>
      <c r="AV255" s="1"/>
      <c r="AW255" s="1"/>
      <c r="AX255" s="1"/>
      <c r="AY255" s="1"/>
      <c r="AZ255" s="1"/>
      <c r="BA255" s="1"/>
      <c r="BB255" s="1"/>
      <c r="BC255" s="1"/>
      <c r="BD255" s="1"/>
      <c r="BE255" s="1"/>
      <c r="BF255" s="1"/>
      <c r="BG255" s="1"/>
    </row>
    <row r="256" spans="1:59" ht="27" x14ac:dyDescent="0.35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  <c r="AA256" s="1"/>
      <c r="AB256" s="1"/>
      <c r="AC256" s="1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  <c r="AS256" s="1"/>
      <c r="AT256" s="1"/>
      <c r="AU256" s="1"/>
      <c r="AV256" s="1"/>
      <c r="AW256" s="1"/>
      <c r="AX256" s="1"/>
      <c r="AY256" s="1"/>
      <c r="AZ256" s="1"/>
      <c r="BA256" s="1"/>
      <c r="BB256" s="1"/>
      <c r="BC256" s="1"/>
      <c r="BD256" s="1"/>
      <c r="BE256" s="1"/>
      <c r="BF256" s="1"/>
      <c r="BG256" s="1"/>
    </row>
    <row r="257" spans="1:59" ht="27" x14ac:dyDescent="0.35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  <c r="AA257" s="1"/>
      <c r="AB257" s="1"/>
      <c r="AC257" s="1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  <c r="AS257" s="1"/>
      <c r="AT257" s="1"/>
      <c r="AU257" s="1"/>
      <c r="AV257" s="1"/>
      <c r="AW257" s="1"/>
      <c r="AX257" s="1"/>
      <c r="AY257" s="1"/>
      <c r="AZ257" s="1"/>
      <c r="BA257" s="1"/>
      <c r="BB257" s="1"/>
      <c r="BC257" s="1"/>
      <c r="BD257" s="1"/>
      <c r="BE257" s="1"/>
      <c r="BF257" s="1"/>
      <c r="BG257" s="1"/>
    </row>
    <row r="258" spans="1:59" ht="27" x14ac:dyDescent="0.35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  <c r="AA258" s="1"/>
      <c r="AB258" s="1"/>
      <c r="AC258" s="1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  <c r="AS258" s="1"/>
      <c r="AT258" s="1"/>
      <c r="AU258" s="1"/>
      <c r="AV258" s="1"/>
      <c r="AW258" s="1"/>
      <c r="AX258" s="1"/>
      <c r="AY258" s="1"/>
      <c r="AZ258" s="1"/>
      <c r="BA258" s="1"/>
      <c r="BB258" s="1"/>
      <c r="BC258" s="1"/>
      <c r="BD258" s="1"/>
      <c r="BE258" s="1"/>
      <c r="BF258" s="1"/>
      <c r="BG258" s="1"/>
    </row>
    <row r="259" spans="1:59" ht="27" x14ac:dyDescent="0.35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  <c r="AA259" s="1"/>
      <c r="AB259" s="1"/>
      <c r="AC259" s="1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  <c r="AS259" s="1"/>
      <c r="AT259" s="1"/>
      <c r="AU259" s="1"/>
      <c r="AV259" s="1"/>
      <c r="AW259" s="1"/>
      <c r="AX259" s="1"/>
      <c r="AY259" s="1"/>
      <c r="AZ259" s="1"/>
      <c r="BA259" s="1"/>
      <c r="BB259" s="1"/>
      <c r="BC259" s="1"/>
      <c r="BD259" s="1"/>
      <c r="BE259" s="1"/>
      <c r="BF259" s="1"/>
      <c r="BG259" s="1"/>
    </row>
    <row r="260" spans="1:59" ht="27" x14ac:dyDescent="0.35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  <c r="AA260" s="1"/>
      <c r="AB260" s="1"/>
      <c r="AC260" s="1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  <c r="AS260" s="1"/>
      <c r="AT260" s="1"/>
      <c r="AU260" s="1"/>
      <c r="AV260" s="1"/>
      <c r="AW260" s="1"/>
      <c r="AX260" s="1"/>
      <c r="AY260" s="1"/>
      <c r="AZ260" s="1"/>
      <c r="BA260" s="1"/>
      <c r="BB260" s="1"/>
      <c r="BC260" s="1"/>
      <c r="BD260" s="1"/>
      <c r="BE260" s="1"/>
      <c r="BF260" s="1"/>
      <c r="BG260" s="1"/>
    </row>
    <row r="261" spans="1:59" ht="27" x14ac:dyDescent="0.35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  <c r="AA261" s="1"/>
      <c r="AB261" s="1"/>
      <c r="AC261" s="1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  <c r="AS261" s="1"/>
      <c r="AT261" s="1"/>
      <c r="AU261" s="1"/>
      <c r="AV261" s="1"/>
      <c r="AW261" s="1"/>
      <c r="AX261" s="1"/>
      <c r="AY261" s="1"/>
      <c r="AZ261" s="1"/>
      <c r="BA261" s="1"/>
      <c r="BB261" s="1"/>
      <c r="BC261" s="1"/>
      <c r="BD261" s="1"/>
      <c r="BE261" s="1"/>
      <c r="BF261" s="1"/>
      <c r="BG261" s="1"/>
    </row>
    <row r="262" spans="1:59" ht="27" x14ac:dyDescent="0.35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  <c r="AA262" s="1"/>
      <c r="AB262" s="1"/>
      <c r="AC262" s="1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  <c r="AS262" s="1"/>
      <c r="AT262" s="1"/>
      <c r="AU262" s="1"/>
      <c r="AV262" s="1"/>
      <c r="AW262" s="1"/>
      <c r="AX262" s="1"/>
      <c r="AY262" s="1"/>
      <c r="AZ262" s="1"/>
      <c r="BA262" s="1"/>
      <c r="BB262" s="1"/>
      <c r="BC262" s="1"/>
      <c r="BD262" s="1"/>
      <c r="BE262" s="1"/>
      <c r="BF262" s="1"/>
      <c r="BG262" s="1"/>
    </row>
    <row r="263" spans="1:59" ht="27" x14ac:dyDescent="0.35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  <c r="AA263" s="1"/>
      <c r="AB263" s="1"/>
      <c r="AC263" s="1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  <c r="AS263" s="1"/>
      <c r="AT263" s="1"/>
      <c r="AU263" s="1"/>
      <c r="AV263" s="1"/>
      <c r="AW263" s="1"/>
      <c r="AX263" s="1"/>
      <c r="AY263" s="1"/>
      <c r="AZ263" s="1"/>
      <c r="BA263" s="1"/>
      <c r="BB263" s="1"/>
      <c r="BC263" s="1"/>
      <c r="BD263" s="1"/>
      <c r="BE263" s="1"/>
      <c r="BF263" s="1"/>
      <c r="BG263" s="1"/>
    </row>
    <row r="264" spans="1:59" ht="27" x14ac:dyDescent="0.35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  <c r="AA264" s="1"/>
      <c r="AB264" s="1"/>
      <c r="AC264" s="1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  <c r="AS264" s="1"/>
      <c r="AT264" s="1"/>
      <c r="AU264" s="1"/>
      <c r="AV264" s="1"/>
      <c r="AW264" s="1"/>
      <c r="AX264" s="1"/>
      <c r="AY264" s="1"/>
      <c r="AZ264" s="1"/>
      <c r="BA264" s="1"/>
      <c r="BB264" s="1"/>
      <c r="BC264" s="1"/>
      <c r="BD264" s="1"/>
      <c r="BE264" s="1"/>
      <c r="BF264" s="1"/>
      <c r="BG264" s="1"/>
    </row>
    <row r="265" spans="1:59" ht="27" x14ac:dyDescent="0.35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  <c r="AA265" s="1"/>
      <c r="AB265" s="1"/>
      <c r="AC265" s="1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  <c r="AS265" s="1"/>
      <c r="AT265" s="1"/>
      <c r="AU265" s="1"/>
      <c r="AV265" s="1"/>
      <c r="AW265" s="1"/>
      <c r="AX265" s="1"/>
      <c r="AY265" s="1"/>
      <c r="AZ265" s="1"/>
      <c r="BA265" s="1"/>
      <c r="BB265" s="1"/>
      <c r="BC265" s="1"/>
      <c r="BD265" s="1"/>
      <c r="BE265" s="1"/>
      <c r="BF265" s="1"/>
      <c r="BG265" s="1"/>
    </row>
    <row r="266" spans="1:59" ht="27" x14ac:dyDescent="0.35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  <c r="AA266" s="1"/>
      <c r="AB266" s="1"/>
      <c r="AC266" s="1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  <c r="AS266" s="1"/>
      <c r="AT266" s="1"/>
      <c r="AU266" s="1"/>
      <c r="AV266" s="1"/>
      <c r="AW266" s="1"/>
      <c r="AX266" s="1"/>
      <c r="AY266" s="1"/>
      <c r="AZ266" s="1"/>
      <c r="BA266" s="1"/>
      <c r="BB266" s="1"/>
      <c r="BC266" s="1"/>
      <c r="BD266" s="1"/>
      <c r="BE266" s="1"/>
      <c r="BF266" s="1"/>
      <c r="BG266" s="1"/>
    </row>
    <row r="267" spans="1:59" ht="27" x14ac:dyDescent="0.35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  <c r="AA267" s="1"/>
      <c r="AB267" s="1"/>
      <c r="AC267" s="1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  <c r="AS267" s="1"/>
      <c r="AT267" s="1"/>
      <c r="AU267" s="1"/>
      <c r="AV267" s="1"/>
      <c r="AW267" s="1"/>
      <c r="AX267" s="1"/>
      <c r="AY267" s="1"/>
      <c r="AZ267" s="1"/>
      <c r="BA267" s="1"/>
      <c r="BB267" s="1"/>
      <c r="BC267" s="1"/>
      <c r="BD267" s="1"/>
      <c r="BE267" s="1"/>
      <c r="BF267" s="1"/>
      <c r="BG267" s="1"/>
    </row>
    <row r="268" spans="1:59" ht="27" x14ac:dyDescent="0.35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  <c r="AA268" s="1"/>
      <c r="AB268" s="1"/>
      <c r="AC268" s="1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  <c r="AS268" s="1"/>
      <c r="AT268" s="1"/>
      <c r="AU268" s="1"/>
      <c r="AV268" s="1"/>
      <c r="AW268" s="1"/>
      <c r="AX268" s="1"/>
      <c r="AY268" s="1"/>
      <c r="AZ268" s="1"/>
      <c r="BA268" s="1"/>
      <c r="BB268" s="1"/>
      <c r="BC268" s="1"/>
      <c r="BD268" s="1"/>
      <c r="BE268" s="1"/>
      <c r="BF268" s="1"/>
      <c r="BG268" s="1"/>
    </row>
    <row r="269" spans="1:59" ht="27" x14ac:dyDescent="0.35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  <c r="AA269" s="1"/>
      <c r="AB269" s="1"/>
      <c r="AC269" s="1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  <c r="AS269" s="1"/>
      <c r="AT269" s="1"/>
      <c r="AU269" s="1"/>
      <c r="AV269" s="1"/>
      <c r="AW269" s="1"/>
      <c r="AX269" s="1"/>
      <c r="AY269" s="1"/>
      <c r="AZ269" s="1"/>
      <c r="BA269" s="1"/>
      <c r="BB269" s="1"/>
      <c r="BC269" s="1"/>
      <c r="BD269" s="1"/>
      <c r="BE269" s="1"/>
      <c r="BF269" s="1"/>
      <c r="BG269" s="1"/>
    </row>
    <row r="270" spans="1:59" ht="27" x14ac:dyDescent="0.35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  <c r="AA270" s="1"/>
      <c r="AB270" s="1"/>
      <c r="AC270" s="1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  <c r="AS270" s="1"/>
      <c r="AT270" s="1"/>
      <c r="AU270" s="1"/>
      <c r="AV270" s="1"/>
      <c r="AW270" s="1"/>
      <c r="AX270" s="1"/>
      <c r="AY270" s="1"/>
      <c r="AZ270" s="1"/>
      <c r="BA270" s="1"/>
      <c r="BB270" s="1"/>
      <c r="BC270" s="1"/>
      <c r="BD270" s="1"/>
      <c r="BE270" s="1"/>
      <c r="BF270" s="1"/>
      <c r="BG270" s="1"/>
    </row>
    <row r="271" spans="1:59" ht="27" x14ac:dyDescent="0.35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  <c r="AA271" s="1"/>
      <c r="AB271" s="1"/>
      <c r="AC271" s="1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  <c r="AS271" s="1"/>
      <c r="AT271" s="1"/>
      <c r="AU271" s="1"/>
      <c r="AV271" s="1"/>
      <c r="AW271" s="1"/>
      <c r="AX271" s="1"/>
      <c r="AY271" s="1"/>
      <c r="AZ271" s="1"/>
      <c r="BA271" s="1"/>
      <c r="BB271" s="1"/>
      <c r="BC271" s="1"/>
      <c r="BD271" s="1"/>
      <c r="BE271" s="1"/>
      <c r="BF271" s="1"/>
      <c r="BG271" s="1"/>
    </row>
    <row r="272" spans="1:59" ht="27" x14ac:dyDescent="0.35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  <c r="AA272" s="1"/>
      <c r="AB272" s="1"/>
      <c r="AC272" s="1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  <c r="AS272" s="1"/>
      <c r="AT272" s="1"/>
      <c r="AU272" s="1"/>
      <c r="AV272" s="1"/>
      <c r="AW272" s="1"/>
      <c r="AX272" s="1"/>
      <c r="AY272" s="1"/>
      <c r="AZ272" s="1"/>
      <c r="BA272" s="1"/>
      <c r="BB272" s="1"/>
      <c r="BC272" s="1"/>
      <c r="BD272" s="1"/>
      <c r="BE272" s="1"/>
      <c r="BF272" s="1"/>
      <c r="BG272" s="1"/>
    </row>
    <row r="273" spans="1:59" ht="27" x14ac:dyDescent="0.35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  <c r="AA273" s="1"/>
      <c r="AB273" s="1"/>
      <c r="AC273" s="1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  <c r="AS273" s="1"/>
      <c r="AT273" s="1"/>
      <c r="AU273" s="1"/>
      <c r="AV273" s="1"/>
      <c r="AW273" s="1"/>
      <c r="AX273" s="1"/>
      <c r="AY273" s="1"/>
      <c r="AZ273" s="1"/>
      <c r="BA273" s="1"/>
      <c r="BB273" s="1"/>
      <c r="BC273" s="1"/>
      <c r="BD273" s="1"/>
      <c r="BE273" s="1"/>
      <c r="BF273" s="1"/>
      <c r="BG273" s="1"/>
    </row>
    <row r="274" spans="1:59" ht="27" x14ac:dyDescent="0.35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  <c r="AA274" s="1"/>
      <c r="AB274" s="1"/>
      <c r="AC274" s="1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  <c r="AS274" s="1"/>
      <c r="AT274" s="1"/>
      <c r="AU274" s="1"/>
      <c r="AV274" s="1"/>
      <c r="AW274" s="1"/>
      <c r="AX274" s="1"/>
      <c r="AY274" s="1"/>
      <c r="AZ274" s="1"/>
      <c r="BA274" s="1"/>
      <c r="BB274" s="1"/>
      <c r="BC274" s="1"/>
      <c r="BD274" s="1"/>
      <c r="BE274" s="1"/>
      <c r="BF274" s="1"/>
      <c r="BG274" s="1"/>
    </row>
    <row r="275" spans="1:59" ht="27" x14ac:dyDescent="0.35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  <c r="AA275" s="1"/>
      <c r="AB275" s="1"/>
      <c r="AC275" s="1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  <c r="AS275" s="1"/>
      <c r="AT275" s="1"/>
      <c r="AU275" s="1"/>
      <c r="AV275" s="1"/>
      <c r="AW275" s="1"/>
      <c r="AX275" s="1"/>
      <c r="AY275" s="1"/>
      <c r="AZ275" s="1"/>
      <c r="BA275" s="1"/>
      <c r="BB275" s="1"/>
      <c r="BC275" s="1"/>
      <c r="BD275" s="1"/>
      <c r="BE275" s="1"/>
      <c r="BF275" s="1"/>
      <c r="BG275" s="1"/>
    </row>
    <row r="276" spans="1:59" ht="27" x14ac:dyDescent="0.35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  <c r="AA276" s="1"/>
      <c r="AB276" s="1"/>
      <c r="AC276" s="1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  <c r="AS276" s="1"/>
      <c r="AT276" s="1"/>
      <c r="AU276" s="1"/>
      <c r="AV276" s="1"/>
      <c r="AW276" s="1"/>
      <c r="AX276" s="1"/>
      <c r="AY276" s="1"/>
      <c r="AZ276" s="1"/>
      <c r="BA276" s="1"/>
      <c r="BB276" s="1"/>
      <c r="BC276" s="1"/>
      <c r="BD276" s="1"/>
      <c r="BE276" s="1"/>
      <c r="BF276" s="1"/>
      <c r="BG276" s="1"/>
    </row>
    <row r="277" spans="1:59" ht="27" x14ac:dyDescent="0.35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  <c r="AA277" s="1"/>
      <c r="AB277" s="1"/>
      <c r="AC277" s="1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  <c r="AS277" s="1"/>
      <c r="AT277" s="1"/>
      <c r="AU277" s="1"/>
      <c r="AV277" s="1"/>
      <c r="AW277" s="1"/>
      <c r="AX277" s="1"/>
      <c r="AY277" s="1"/>
      <c r="AZ277" s="1"/>
      <c r="BA277" s="1"/>
      <c r="BB277" s="1"/>
      <c r="BC277" s="1"/>
      <c r="BD277" s="1"/>
      <c r="BE277" s="1"/>
      <c r="BF277" s="1"/>
      <c r="BG277" s="1"/>
    </row>
    <row r="278" spans="1:59" ht="27" x14ac:dyDescent="0.35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  <c r="AA278" s="1"/>
      <c r="AB278" s="1"/>
      <c r="AC278" s="1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  <c r="AS278" s="1"/>
      <c r="AT278" s="1"/>
      <c r="AU278" s="1"/>
      <c r="AV278" s="1"/>
      <c r="AW278" s="1"/>
      <c r="AX278" s="1"/>
      <c r="AY278" s="1"/>
      <c r="AZ278" s="1"/>
      <c r="BA278" s="1"/>
      <c r="BB278" s="1"/>
      <c r="BC278" s="1"/>
      <c r="BD278" s="1"/>
      <c r="BE278" s="1"/>
      <c r="BF278" s="1"/>
      <c r="BG278" s="1"/>
    </row>
    <row r="279" spans="1:59" ht="27" x14ac:dyDescent="0.35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  <c r="AA279" s="1"/>
      <c r="AB279" s="1"/>
      <c r="AC279" s="1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  <c r="AS279" s="1"/>
      <c r="AT279" s="1"/>
      <c r="AU279" s="1"/>
      <c r="AV279" s="1"/>
      <c r="AW279" s="1"/>
      <c r="AX279" s="1"/>
      <c r="AY279" s="1"/>
      <c r="AZ279" s="1"/>
      <c r="BA279" s="1"/>
      <c r="BB279" s="1"/>
      <c r="BC279" s="1"/>
      <c r="BD279" s="1"/>
      <c r="BE279" s="1"/>
      <c r="BF279" s="1"/>
      <c r="BG279" s="1"/>
    </row>
    <row r="280" spans="1:59" ht="27" x14ac:dyDescent="0.35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  <c r="AA280" s="1"/>
      <c r="AB280" s="1"/>
      <c r="AC280" s="1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  <c r="AS280" s="1"/>
      <c r="AT280" s="1"/>
      <c r="AU280" s="1"/>
      <c r="AV280" s="1"/>
      <c r="AW280" s="1"/>
      <c r="AX280" s="1"/>
      <c r="AY280" s="1"/>
      <c r="AZ280" s="1"/>
      <c r="BA280" s="1"/>
      <c r="BB280" s="1"/>
      <c r="BC280" s="1"/>
      <c r="BD280" s="1"/>
      <c r="BE280" s="1"/>
      <c r="BF280" s="1"/>
      <c r="BG280" s="1"/>
    </row>
    <row r="281" spans="1:59" ht="27" x14ac:dyDescent="0.35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  <c r="AA281" s="1"/>
      <c r="AB281" s="1"/>
      <c r="AC281" s="1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  <c r="AS281" s="1"/>
      <c r="AT281" s="1"/>
      <c r="AU281" s="1"/>
      <c r="AV281" s="1"/>
      <c r="AW281" s="1"/>
      <c r="AX281" s="1"/>
      <c r="AY281" s="1"/>
      <c r="AZ281" s="1"/>
      <c r="BA281" s="1"/>
      <c r="BB281" s="1"/>
      <c r="BC281" s="1"/>
      <c r="BD281" s="1"/>
      <c r="BE281" s="1"/>
      <c r="BF281" s="1"/>
      <c r="BG281" s="1"/>
    </row>
    <row r="282" spans="1:59" ht="27" x14ac:dyDescent="0.35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  <c r="AA282" s="1"/>
      <c r="AB282" s="1"/>
      <c r="AC282" s="1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  <c r="AS282" s="1"/>
      <c r="AT282" s="1"/>
      <c r="AU282" s="1"/>
      <c r="AV282" s="1"/>
      <c r="AW282" s="1"/>
      <c r="AX282" s="1"/>
      <c r="AY282" s="1"/>
      <c r="AZ282" s="1"/>
      <c r="BA282" s="1"/>
      <c r="BB282" s="1"/>
      <c r="BC282" s="1"/>
      <c r="BD282" s="1"/>
      <c r="BE282" s="1"/>
      <c r="BF282" s="1"/>
      <c r="BG282" s="1"/>
    </row>
    <row r="283" spans="1:59" ht="27" x14ac:dyDescent="0.35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  <c r="AA283" s="1"/>
      <c r="AB283" s="1"/>
      <c r="AC283" s="1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  <c r="AS283" s="1"/>
      <c r="AT283" s="1"/>
      <c r="AU283" s="1"/>
      <c r="AV283" s="1"/>
      <c r="AW283" s="1"/>
      <c r="AX283" s="1"/>
      <c r="AY283" s="1"/>
      <c r="AZ283" s="1"/>
      <c r="BA283" s="1"/>
      <c r="BB283" s="1"/>
      <c r="BC283" s="1"/>
      <c r="BD283" s="1"/>
      <c r="BE283" s="1"/>
      <c r="BF283" s="1"/>
      <c r="BG283" s="1"/>
    </row>
    <row r="284" spans="1:59" ht="27" x14ac:dyDescent="0.35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  <c r="AA284" s="1"/>
      <c r="AB284" s="1"/>
      <c r="AC284" s="1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  <c r="AS284" s="1"/>
      <c r="AT284" s="1"/>
      <c r="AU284" s="1"/>
      <c r="AV284" s="1"/>
      <c r="AW284" s="1"/>
      <c r="AX284" s="1"/>
      <c r="AY284" s="1"/>
      <c r="AZ284" s="1"/>
      <c r="BA284" s="1"/>
      <c r="BB284" s="1"/>
      <c r="BC284" s="1"/>
      <c r="BD284" s="1"/>
      <c r="BE284" s="1"/>
      <c r="BF284" s="1"/>
      <c r="BG284" s="1"/>
    </row>
    <row r="285" spans="1:59" ht="27" x14ac:dyDescent="0.35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  <c r="AA285" s="1"/>
      <c r="AB285" s="1"/>
      <c r="AC285" s="1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  <c r="AS285" s="1"/>
      <c r="AT285" s="1"/>
      <c r="AU285" s="1"/>
      <c r="AV285" s="1"/>
      <c r="AW285" s="1"/>
      <c r="AX285" s="1"/>
      <c r="AY285" s="1"/>
      <c r="AZ285" s="1"/>
      <c r="BA285" s="1"/>
      <c r="BB285" s="1"/>
      <c r="BC285" s="1"/>
      <c r="BD285" s="1"/>
      <c r="BE285" s="1"/>
      <c r="BF285" s="1"/>
      <c r="BG285" s="1"/>
    </row>
    <row r="286" spans="1:59" ht="27" x14ac:dyDescent="0.35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  <c r="AA286" s="1"/>
      <c r="AB286" s="1"/>
      <c r="AC286" s="1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  <c r="AS286" s="1"/>
      <c r="AT286" s="1"/>
      <c r="AU286" s="1"/>
      <c r="AV286" s="1"/>
      <c r="AW286" s="1"/>
      <c r="AX286" s="1"/>
      <c r="AY286" s="1"/>
      <c r="AZ286" s="1"/>
      <c r="BA286" s="1"/>
      <c r="BB286" s="1"/>
      <c r="BC286" s="1"/>
      <c r="BD286" s="1"/>
      <c r="BE286" s="1"/>
      <c r="BF286" s="1"/>
      <c r="BG286" s="1"/>
    </row>
    <row r="287" spans="1:59" ht="27" x14ac:dyDescent="0.35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  <c r="AA287" s="1"/>
      <c r="AB287" s="1"/>
      <c r="AC287" s="1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  <c r="AS287" s="1"/>
      <c r="AT287" s="1"/>
      <c r="AU287" s="1"/>
      <c r="AV287" s="1"/>
      <c r="AW287" s="1"/>
      <c r="AX287" s="1"/>
      <c r="AY287" s="1"/>
      <c r="AZ287" s="1"/>
      <c r="BA287" s="1"/>
      <c r="BB287" s="1"/>
      <c r="BC287" s="1"/>
      <c r="BD287" s="1"/>
      <c r="BE287" s="1"/>
      <c r="BF287" s="1"/>
      <c r="BG287" s="1"/>
    </row>
    <row r="288" spans="1:59" ht="27" x14ac:dyDescent="0.35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  <c r="AA288" s="1"/>
      <c r="AB288" s="1"/>
      <c r="AC288" s="1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  <c r="AS288" s="1"/>
      <c r="AT288" s="1"/>
      <c r="AU288" s="1"/>
      <c r="AV288" s="1"/>
      <c r="AW288" s="1"/>
      <c r="AX288" s="1"/>
      <c r="AY288" s="1"/>
      <c r="AZ288" s="1"/>
      <c r="BA288" s="1"/>
      <c r="BB288" s="1"/>
      <c r="BC288" s="1"/>
      <c r="BD288" s="1"/>
      <c r="BE288" s="1"/>
      <c r="BF288" s="1"/>
      <c r="BG288" s="1"/>
    </row>
    <row r="289" spans="1:59" ht="27" x14ac:dyDescent="0.35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  <c r="AA289" s="1"/>
      <c r="AB289" s="1"/>
      <c r="AC289" s="1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  <c r="AS289" s="1"/>
      <c r="AT289" s="1"/>
      <c r="AU289" s="1"/>
      <c r="AV289" s="1"/>
      <c r="AW289" s="1"/>
      <c r="AX289" s="1"/>
      <c r="AY289" s="1"/>
      <c r="AZ289" s="1"/>
      <c r="BA289" s="1"/>
      <c r="BB289" s="1"/>
      <c r="BC289" s="1"/>
      <c r="BD289" s="1"/>
      <c r="BE289" s="1"/>
      <c r="BF289" s="1"/>
      <c r="BG289" s="1"/>
    </row>
    <row r="290" spans="1:59" ht="27" x14ac:dyDescent="0.35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  <c r="AA290" s="1"/>
      <c r="AB290" s="1"/>
      <c r="AC290" s="1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  <c r="AS290" s="1"/>
      <c r="AT290" s="1"/>
      <c r="AU290" s="1"/>
      <c r="AV290" s="1"/>
      <c r="AW290" s="1"/>
      <c r="AX290" s="1"/>
      <c r="AY290" s="1"/>
      <c r="AZ290" s="1"/>
      <c r="BA290" s="1"/>
      <c r="BB290" s="1"/>
      <c r="BC290" s="1"/>
      <c r="BD290" s="1"/>
      <c r="BE290" s="1"/>
      <c r="BF290" s="1"/>
      <c r="BG290" s="1"/>
    </row>
    <row r="291" spans="1:59" ht="27" x14ac:dyDescent="0.35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  <c r="AA291" s="1"/>
      <c r="AB291" s="1"/>
      <c r="AC291" s="1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  <c r="AS291" s="1"/>
      <c r="AT291" s="1"/>
      <c r="AU291" s="1"/>
      <c r="AV291" s="1"/>
      <c r="AW291" s="1"/>
      <c r="AX291" s="1"/>
      <c r="AY291" s="1"/>
      <c r="AZ291" s="1"/>
      <c r="BA291" s="1"/>
      <c r="BB291" s="1"/>
      <c r="BC291" s="1"/>
      <c r="BD291" s="1"/>
      <c r="BE291" s="1"/>
      <c r="BF291" s="1"/>
      <c r="BG291" s="1"/>
    </row>
    <row r="292" spans="1:59" ht="27" x14ac:dyDescent="0.35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  <c r="AA292" s="1"/>
      <c r="AB292" s="1"/>
      <c r="AC292" s="1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  <c r="AS292" s="1"/>
      <c r="AT292" s="1"/>
      <c r="AU292" s="1"/>
      <c r="AV292" s="1"/>
      <c r="AW292" s="1"/>
      <c r="AX292" s="1"/>
      <c r="AY292" s="1"/>
      <c r="AZ292" s="1"/>
      <c r="BA292" s="1"/>
      <c r="BB292" s="1"/>
      <c r="BC292" s="1"/>
      <c r="BD292" s="1"/>
      <c r="BE292" s="1"/>
      <c r="BF292" s="1"/>
      <c r="BG292" s="1"/>
    </row>
    <row r="293" spans="1:59" ht="27" x14ac:dyDescent="0.35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  <c r="AA293" s="1"/>
      <c r="AB293" s="1"/>
      <c r="AC293" s="1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  <c r="AS293" s="1"/>
      <c r="AT293" s="1"/>
      <c r="AU293" s="1"/>
      <c r="AV293" s="1"/>
      <c r="AW293" s="1"/>
      <c r="AX293" s="1"/>
      <c r="AY293" s="1"/>
      <c r="AZ293" s="1"/>
      <c r="BA293" s="1"/>
      <c r="BB293" s="1"/>
      <c r="BC293" s="1"/>
      <c r="BD293" s="1"/>
      <c r="BE293" s="1"/>
      <c r="BF293" s="1"/>
      <c r="BG293" s="1"/>
    </row>
    <row r="294" spans="1:59" ht="27" x14ac:dyDescent="0.35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  <c r="AA294" s="1"/>
      <c r="AB294" s="1"/>
      <c r="AC294" s="1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  <c r="AS294" s="1"/>
      <c r="AT294" s="1"/>
      <c r="AU294" s="1"/>
      <c r="AV294" s="1"/>
      <c r="AW294" s="1"/>
      <c r="AX294" s="1"/>
      <c r="AY294" s="1"/>
      <c r="AZ294" s="1"/>
      <c r="BA294" s="1"/>
      <c r="BB294" s="1"/>
      <c r="BC294" s="1"/>
      <c r="BD294" s="1"/>
      <c r="BE294" s="1"/>
      <c r="BF294" s="1"/>
      <c r="BG294" s="1"/>
    </row>
    <row r="295" spans="1:59" ht="27" x14ac:dyDescent="0.35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  <c r="AA295" s="1"/>
      <c r="AB295" s="1"/>
      <c r="AC295" s="1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  <c r="AS295" s="1"/>
      <c r="AT295" s="1"/>
      <c r="AU295" s="1"/>
      <c r="AV295" s="1"/>
      <c r="AW295" s="1"/>
      <c r="AX295" s="1"/>
      <c r="AY295" s="1"/>
      <c r="AZ295" s="1"/>
      <c r="BA295" s="1"/>
      <c r="BB295" s="1"/>
      <c r="BC295" s="1"/>
      <c r="BD295" s="1"/>
      <c r="BE295" s="1"/>
      <c r="BF295" s="1"/>
      <c r="BG295" s="1"/>
    </row>
    <row r="296" spans="1:59" ht="27" x14ac:dyDescent="0.35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  <c r="AA296" s="1"/>
      <c r="AB296" s="1"/>
      <c r="AC296" s="1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  <c r="AS296" s="1"/>
      <c r="AT296" s="1"/>
      <c r="AU296" s="1"/>
      <c r="AV296" s="1"/>
      <c r="AW296" s="1"/>
      <c r="AX296" s="1"/>
      <c r="AY296" s="1"/>
      <c r="AZ296" s="1"/>
      <c r="BA296" s="1"/>
      <c r="BB296" s="1"/>
      <c r="BC296" s="1"/>
      <c r="BD296" s="1"/>
      <c r="BE296" s="1"/>
      <c r="BF296" s="1"/>
      <c r="BG296" s="1"/>
    </row>
    <row r="297" spans="1:59" ht="27" x14ac:dyDescent="0.35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  <c r="AA297" s="1"/>
      <c r="AB297" s="1"/>
      <c r="AC297" s="1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  <c r="AS297" s="1"/>
      <c r="AT297" s="1"/>
      <c r="AU297" s="1"/>
      <c r="AV297" s="1"/>
      <c r="AW297" s="1"/>
      <c r="AX297" s="1"/>
      <c r="AY297" s="1"/>
      <c r="AZ297" s="1"/>
      <c r="BA297" s="1"/>
      <c r="BB297" s="1"/>
      <c r="BC297" s="1"/>
      <c r="BD297" s="1"/>
      <c r="BE297" s="1"/>
      <c r="BF297" s="1"/>
      <c r="BG297" s="1"/>
    </row>
    <row r="298" spans="1:59" ht="27" x14ac:dyDescent="0.35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  <c r="AA298" s="1"/>
      <c r="AB298" s="1"/>
      <c r="AC298" s="1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  <c r="AS298" s="1"/>
      <c r="AT298" s="1"/>
      <c r="AU298" s="1"/>
      <c r="AV298" s="1"/>
      <c r="AW298" s="1"/>
      <c r="AX298" s="1"/>
      <c r="AY298" s="1"/>
      <c r="AZ298" s="1"/>
      <c r="BA298" s="1"/>
      <c r="BB298" s="1"/>
      <c r="BC298" s="1"/>
      <c r="BD298" s="1"/>
      <c r="BE298" s="1"/>
      <c r="BF298" s="1"/>
      <c r="BG298" s="1"/>
    </row>
    <row r="299" spans="1:59" ht="27" x14ac:dyDescent="0.35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  <c r="AA299" s="1"/>
      <c r="AB299" s="1"/>
      <c r="AC299" s="1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  <c r="AS299" s="1"/>
      <c r="AT299" s="1"/>
      <c r="AU299" s="1"/>
      <c r="AV299" s="1"/>
      <c r="AW299" s="1"/>
      <c r="AX299" s="1"/>
      <c r="AY299" s="1"/>
      <c r="AZ299" s="1"/>
      <c r="BA299" s="1"/>
      <c r="BB299" s="1"/>
      <c r="BC299" s="1"/>
      <c r="BD299" s="1"/>
      <c r="BE299" s="1"/>
      <c r="BF299" s="1"/>
      <c r="BG299" s="1"/>
    </row>
    <row r="300" spans="1:59" ht="27" x14ac:dyDescent="0.35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  <c r="AA300" s="1"/>
      <c r="AB300" s="1"/>
      <c r="AC300" s="1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  <c r="AS300" s="1"/>
      <c r="AT300" s="1"/>
      <c r="AU300" s="1"/>
      <c r="AV300" s="1"/>
      <c r="AW300" s="1"/>
      <c r="AX300" s="1"/>
      <c r="AY300" s="1"/>
      <c r="AZ300" s="1"/>
      <c r="BA300" s="1"/>
      <c r="BB300" s="1"/>
      <c r="BC300" s="1"/>
      <c r="BD300" s="1"/>
      <c r="BE300" s="1"/>
      <c r="BF300" s="1"/>
      <c r="BG300" s="1"/>
    </row>
    <row r="301" spans="1:59" ht="27" x14ac:dyDescent="0.35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  <c r="AA301" s="1"/>
      <c r="AB301" s="1"/>
      <c r="AC301" s="1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  <c r="AS301" s="1"/>
      <c r="AT301" s="1"/>
      <c r="AU301" s="1"/>
      <c r="AV301" s="1"/>
      <c r="AW301" s="1"/>
      <c r="AX301" s="1"/>
      <c r="AY301" s="1"/>
      <c r="AZ301" s="1"/>
      <c r="BA301" s="1"/>
      <c r="BB301" s="1"/>
      <c r="BC301" s="1"/>
      <c r="BD301" s="1"/>
      <c r="BE301" s="1"/>
      <c r="BF301" s="1"/>
      <c r="BG301" s="1"/>
    </row>
    <row r="302" spans="1:59" ht="27" x14ac:dyDescent="0.35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  <c r="AA302" s="1"/>
      <c r="AB302" s="1"/>
      <c r="AC302" s="1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  <c r="AS302" s="1"/>
      <c r="AT302" s="1"/>
      <c r="AU302" s="1"/>
      <c r="AV302" s="1"/>
      <c r="AW302" s="1"/>
      <c r="AX302" s="1"/>
      <c r="AY302" s="1"/>
      <c r="AZ302" s="1"/>
      <c r="BA302" s="1"/>
      <c r="BB302" s="1"/>
      <c r="BC302" s="1"/>
      <c r="BD302" s="1"/>
      <c r="BE302" s="1"/>
      <c r="BF302" s="1"/>
      <c r="BG302" s="1"/>
    </row>
    <row r="303" spans="1:59" ht="27" x14ac:dyDescent="0.35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  <c r="AA303" s="1"/>
      <c r="AB303" s="1"/>
      <c r="AC303" s="1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  <c r="AS303" s="1"/>
      <c r="AT303" s="1"/>
      <c r="AU303" s="1"/>
      <c r="AV303" s="1"/>
      <c r="AW303" s="1"/>
      <c r="AX303" s="1"/>
      <c r="AY303" s="1"/>
      <c r="AZ303" s="1"/>
      <c r="BA303" s="1"/>
      <c r="BB303" s="1"/>
      <c r="BC303" s="1"/>
      <c r="BD303" s="1"/>
      <c r="BE303" s="1"/>
      <c r="BF303" s="1"/>
      <c r="BG303" s="1"/>
    </row>
    <row r="304" spans="1:59" ht="27" x14ac:dyDescent="0.35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  <c r="AA304" s="1"/>
      <c r="AB304" s="1"/>
      <c r="AC304" s="1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  <c r="AS304" s="1"/>
      <c r="AT304" s="1"/>
      <c r="AU304" s="1"/>
      <c r="AV304" s="1"/>
      <c r="AW304" s="1"/>
      <c r="AX304" s="1"/>
      <c r="AY304" s="1"/>
      <c r="AZ304" s="1"/>
      <c r="BA304" s="1"/>
      <c r="BB304" s="1"/>
      <c r="BC304" s="1"/>
      <c r="BD304" s="1"/>
      <c r="BE304" s="1"/>
      <c r="BF304" s="1"/>
      <c r="BG304" s="1"/>
    </row>
    <row r="305" spans="1:59" ht="27" x14ac:dyDescent="0.35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  <c r="AA305" s="1"/>
      <c r="AB305" s="1"/>
      <c r="AC305" s="1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  <c r="AS305" s="1"/>
      <c r="AT305" s="1"/>
      <c r="AU305" s="1"/>
      <c r="AV305" s="1"/>
      <c r="AW305" s="1"/>
      <c r="AX305" s="1"/>
      <c r="AY305" s="1"/>
      <c r="AZ305" s="1"/>
      <c r="BA305" s="1"/>
      <c r="BB305" s="1"/>
      <c r="BC305" s="1"/>
      <c r="BD305" s="1"/>
      <c r="BE305" s="1"/>
      <c r="BF305" s="1"/>
      <c r="BG305" s="1"/>
    </row>
    <row r="306" spans="1:59" ht="27" x14ac:dyDescent="0.35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  <c r="AA306" s="1"/>
      <c r="AB306" s="1"/>
      <c r="AC306" s="1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  <c r="AS306" s="1"/>
      <c r="AT306" s="1"/>
      <c r="AU306" s="1"/>
      <c r="AV306" s="1"/>
      <c r="AW306" s="1"/>
      <c r="AX306" s="1"/>
      <c r="AY306" s="1"/>
      <c r="AZ306" s="1"/>
      <c r="BA306" s="1"/>
      <c r="BB306" s="1"/>
      <c r="BC306" s="1"/>
      <c r="BD306" s="1"/>
      <c r="BE306" s="1"/>
      <c r="BF306" s="1"/>
      <c r="BG306" s="1"/>
    </row>
    <row r="307" spans="1:59" ht="27" x14ac:dyDescent="0.35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  <c r="AA307" s="1"/>
      <c r="AB307" s="1"/>
      <c r="AC307" s="1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  <c r="AS307" s="1"/>
      <c r="AT307" s="1"/>
      <c r="AU307" s="1"/>
      <c r="AV307" s="1"/>
      <c r="AW307" s="1"/>
      <c r="AX307" s="1"/>
      <c r="AY307" s="1"/>
      <c r="AZ307" s="1"/>
      <c r="BA307" s="1"/>
      <c r="BB307" s="1"/>
      <c r="BC307" s="1"/>
      <c r="BD307" s="1"/>
      <c r="BE307" s="1"/>
      <c r="BF307" s="1"/>
      <c r="BG307" s="1"/>
    </row>
    <row r="308" spans="1:59" ht="27" x14ac:dyDescent="0.35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  <c r="AA308" s="1"/>
      <c r="AB308" s="1"/>
      <c r="AC308" s="1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  <c r="AS308" s="1"/>
      <c r="AT308" s="1"/>
      <c r="AU308" s="1"/>
      <c r="AV308" s="1"/>
      <c r="AW308" s="1"/>
      <c r="AX308" s="1"/>
      <c r="AY308" s="1"/>
      <c r="AZ308" s="1"/>
      <c r="BA308" s="1"/>
      <c r="BB308" s="1"/>
      <c r="BC308" s="1"/>
      <c r="BD308" s="1"/>
      <c r="BE308" s="1"/>
      <c r="BF308" s="1"/>
      <c r="BG308" s="1"/>
    </row>
    <row r="309" spans="1:59" ht="27" x14ac:dyDescent="0.35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  <c r="AA309" s="1"/>
      <c r="AB309" s="1"/>
      <c r="AC309" s="1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  <c r="AS309" s="1"/>
      <c r="AT309" s="1"/>
      <c r="AU309" s="1"/>
      <c r="AV309" s="1"/>
      <c r="AW309" s="1"/>
      <c r="AX309" s="1"/>
      <c r="AY309" s="1"/>
      <c r="AZ309" s="1"/>
      <c r="BA309" s="1"/>
      <c r="BB309" s="1"/>
      <c r="BC309" s="1"/>
      <c r="BD309" s="1"/>
      <c r="BE309" s="1"/>
      <c r="BF309" s="1"/>
      <c r="BG309" s="1"/>
    </row>
    <row r="310" spans="1:59" ht="27" x14ac:dyDescent="0.35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  <c r="AA310" s="1"/>
      <c r="AB310" s="1"/>
      <c r="AC310" s="1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  <c r="AS310" s="1"/>
      <c r="AT310" s="1"/>
      <c r="AU310" s="1"/>
      <c r="AV310" s="1"/>
      <c r="AW310" s="1"/>
      <c r="AX310" s="1"/>
      <c r="AY310" s="1"/>
      <c r="AZ310" s="1"/>
      <c r="BA310" s="1"/>
      <c r="BB310" s="1"/>
      <c r="BC310" s="1"/>
      <c r="BD310" s="1"/>
      <c r="BE310" s="1"/>
      <c r="BF310" s="1"/>
      <c r="BG310" s="1"/>
    </row>
    <row r="311" spans="1:59" ht="27" x14ac:dyDescent="0.35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  <c r="AA311" s="1"/>
      <c r="AB311" s="1"/>
      <c r="AC311" s="1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  <c r="AS311" s="1"/>
      <c r="AT311" s="1"/>
      <c r="AU311" s="1"/>
      <c r="AV311" s="1"/>
      <c r="AW311" s="1"/>
      <c r="AX311" s="1"/>
      <c r="AY311" s="1"/>
      <c r="AZ311" s="1"/>
      <c r="BA311" s="1"/>
      <c r="BB311" s="1"/>
      <c r="BC311" s="1"/>
      <c r="BD311" s="1"/>
      <c r="BE311" s="1"/>
      <c r="BF311" s="1"/>
      <c r="BG311" s="1"/>
    </row>
    <row r="312" spans="1:59" ht="27" x14ac:dyDescent="0.35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  <c r="AA312" s="1"/>
      <c r="AB312" s="1"/>
      <c r="AC312" s="1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  <c r="AS312" s="1"/>
      <c r="AT312" s="1"/>
      <c r="AU312" s="1"/>
      <c r="AV312" s="1"/>
      <c r="AW312" s="1"/>
      <c r="AX312" s="1"/>
      <c r="AY312" s="1"/>
      <c r="AZ312" s="1"/>
      <c r="BA312" s="1"/>
      <c r="BB312" s="1"/>
      <c r="BC312" s="1"/>
      <c r="BD312" s="1"/>
      <c r="BE312" s="1"/>
      <c r="BF312" s="1"/>
      <c r="BG312" s="1"/>
    </row>
    <row r="313" spans="1:59" ht="27" x14ac:dyDescent="0.35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  <c r="AA313" s="1"/>
      <c r="AB313" s="1"/>
      <c r="AC313" s="1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  <c r="AS313" s="1"/>
      <c r="AT313" s="1"/>
      <c r="AU313" s="1"/>
      <c r="AV313" s="1"/>
      <c r="AW313" s="1"/>
      <c r="AX313" s="1"/>
      <c r="AY313" s="1"/>
      <c r="AZ313" s="1"/>
      <c r="BA313" s="1"/>
      <c r="BB313" s="1"/>
      <c r="BC313" s="1"/>
      <c r="BD313" s="1"/>
      <c r="BE313" s="1"/>
      <c r="BF313" s="1"/>
      <c r="BG313" s="1"/>
    </row>
    <row r="314" spans="1:59" ht="27" x14ac:dyDescent="0.35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  <c r="AA314" s="1"/>
      <c r="AB314" s="1"/>
      <c r="AC314" s="1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  <c r="AS314" s="1"/>
      <c r="AT314" s="1"/>
      <c r="AU314" s="1"/>
      <c r="AV314" s="1"/>
      <c r="AW314" s="1"/>
      <c r="AX314" s="1"/>
      <c r="AY314" s="1"/>
      <c r="AZ314" s="1"/>
      <c r="BA314" s="1"/>
      <c r="BB314" s="1"/>
      <c r="BC314" s="1"/>
      <c r="BD314" s="1"/>
      <c r="BE314" s="1"/>
      <c r="BF314" s="1"/>
      <c r="BG314" s="1"/>
    </row>
    <row r="315" spans="1:59" ht="27" x14ac:dyDescent="0.35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  <c r="AA315" s="1"/>
      <c r="AB315" s="1"/>
      <c r="AC315" s="1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  <c r="AS315" s="1"/>
      <c r="AT315" s="1"/>
      <c r="AU315" s="1"/>
      <c r="AV315" s="1"/>
      <c r="AW315" s="1"/>
      <c r="AX315" s="1"/>
      <c r="AY315" s="1"/>
      <c r="AZ315" s="1"/>
      <c r="BA315" s="1"/>
      <c r="BB315" s="1"/>
      <c r="BC315" s="1"/>
      <c r="BD315" s="1"/>
      <c r="BE315" s="1"/>
      <c r="BF315" s="1"/>
      <c r="BG315" s="1"/>
    </row>
    <row r="316" spans="1:59" ht="27" x14ac:dyDescent="0.35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  <c r="AA316" s="1"/>
      <c r="AB316" s="1"/>
      <c r="AC316" s="1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  <c r="AS316" s="1"/>
      <c r="AT316" s="1"/>
      <c r="AU316" s="1"/>
      <c r="AV316" s="1"/>
      <c r="AW316" s="1"/>
      <c r="AX316" s="1"/>
      <c r="AY316" s="1"/>
      <c r="AZ316" s="1"/>
      <c r="BA316" s="1"/>
      <c r="BB316" s="1"/>
      <c r="BC316" s="1"/>
      <c r="BD316" s="1"/>
      <c r="BE316" s="1"/>
      <c r="BF316" s="1"/>
      <c r="BG316" s="1"/>
    </row>
    <row r="317" spans="1:59" ht="27" x14ac:dyDescent="0.35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  <c r="AA317" s="1"/>
      <c r="AB317" s="1"/>
      <c r="AC317" s="1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  <c r="AS317" s="1"/>
      <c r="AT317" s="1"/>
      <c r="AU317" s="1"/>
      <c r="AV317" s="1"/>
      <c r="AW317" s="1"/>
      <c r="AX317" s="1"/>
      <c r="AY317" s="1"/>
      <c r="AZ317" s="1"/>
      <c r="BA317" s="1"/>
      <c r="BB317" s="1"/>
      <c r="BC317" s="1"/>
      <c r="BD317" s="1"/>
      <c r="BE317" s="1"/>
      <c r="BF317" s="1"/>
      <c r="BG317" s="1"/>
    </row>
    <row r="318" spans="1:59" ht="27" x14ac:dyDescent="0.35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  <c r="AA318" s="1"/>
      <c r="AB318" s="1"/>
      <c r="AC318" s="1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  <c r="AS318" s="1"/>
      <c r="AT318" s="1"/>
      <c r="AU318" s="1"/>
      <c r="AV318" s="1"/>
      <c r="AW318" s="1"/>
      <c r="AX318" s="1"/>
      <c r="AY318" s="1"/>
      <c r="AZ318" s="1"/>
      <c r="BA318" s="1"/>
      <c r="BB318" s="1"/>
      <c r="BC318" s="1"/>
      <c r="BD318" s="1"/>
      <c r="BE318" s="1"/>
      <c r="BF318" s="1"/>
      <c r="BG318" s="1"/>
    </row>
    <row r="319" spans="1:59" ht="27" x14ac:dyDescent="0.35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  <c r="AA319" s="1"/>
      <c r="AB319" s="1"/>
      <c r="AC319" s="1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  <c r="AS319" s="1"/>
      <c r="AT319" s="1"/>
      <c r="AU319" s="1"/>
      <c r="AV319" s="1"/>
      <c r="AW319" s="1"/>
      <c r="AX319" s="1"/>
      <c r="AY319" s="1"/>
      <c r="AZ319" s="1"/>
      <c r="BA319" s="1"/>
      <c r="BB319" s="1"/>
      <c r="BC319" s="1"/>
      <c r="BD319" s="1"/>
      <c r="BE319" s="1"/>
      <c r="BF319" s="1"/>
      <c r="BG319" s="1"/>
    </row>
    <row r="320" spans="1:59" ht="27" x14ac:dyDescent="0.35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  <c r="AA320" s="1"/>
      <c r="AB320" s="1"/>
      <c r="AC320" s="1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  <c r="AS320" s="1"/>
      <c r="AT320" s="1"/>
      <c r="AU320" s="1"/>
      <c r="AV320" s="1"/>
      <c r="AW320" s="1"/>
      <c r="AX320" s="1"/>
      <c r="AY320" s="1"/>
      <c r="AZ320" s="1"/>
      <c r="BA320" s="1"/>
      <c r="BB320" s="1"/>
      <c r="BC320" s="1"/>
      <c r="BD320" s="1"/>
      <c r="BE320" s="1"/>
      <c r="BF320" s="1"/>
      <c r="BG320" s="1"/>
    </row>
    <row r="321" spans="1:59" ht="27" x14ac:dyDescent="0.35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  <c r="AA321" s="1"/>
      <c r="AB321" s="1"/>
      <c r="AC321" s="1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  <c r="AS321" s="1"/>
      <c r="AT321" s="1"/>
      <c r="AU321" s="1"/>
      <c r="AV321" s="1"/>
      <c r="AW321" s="1"/>
      <c r="AX321" s="1"/>
      <c r="AY321" s="1"/>
      <c r="AZ321" s="1"/>
      <c r="BA321" s="1"/>
      <c r="BB321" s="1"/>
      <c r="BC321" s="1"/>
      <c r="BD321" s="1"/>
      <c r="BE321" s="1"/>
      <c r="BF321" s="1"/>
      <c r="BG321" s="1"/>
    </row>
    <row r="322" spans="1:59" ht="27" x14ac:dyDescent="0.35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  <c r="AA322" s="1"/>
      <c r="AB322" s="1"/>
      <c r="AC322" s="1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  <c r="AS322" s="1"/>
      <c r="AT322" s="1"/>
      <c r="AU322" s="1"/>
      <c r="AV322" s="1"/>
      <c r="AW322" s="1"/>
      <c r="AX322" s="1"/>
      <c r="AY322" s="1"/>
      <c r="AZ322" s="1"/>
      <c r="BA322" s="1"/>
      <c r="BB322" s="1"/>
      <c r="BC322" s="1"/>
      <c r="BD322" s="1"/>
      <c r="BE322" s="1"/>
      <c r="BF322" s="1"/>
      <c r="BG322" s="1"/>
    </row>
    <row r="323" spans="1:59" ht="27" x14ac:dyDescent="0.35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  <c r="AA323" s="1"/>
      <c r="AB323" s="1"/>
      <c r="AC323" s="1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  <c r="AS323" s="1"/>
      <c r="AT323" s="1"/>
      <c r="AU323" s="1"/>
      <c r="AV323" s="1"/>
      <c r="AW323" s="1"/>
      <c r="AX323" s="1"/>
      <c r="AY323" s="1"/>
      <c r="AZ323" s="1"/>
      <c r="BA323" s="1"/>
      <c r="BB323" s="1"/>
      <c r="BC323" s="1"/>
      <c r="BD323" s="1"/>
      <c r="BE323" s="1"/>
      <c r="BF323" s="1"/>
      <c r="BG323" s="1"/>
    </row>
    <row r="324" spans="1:59" ht="27" x14ac:dyDescent="0.35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  <c r="AA324" s="1"/>
      <c r="AB324" s="1"/>
      <c r="AC324" s="1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  <c r="AS324" s="1"/>
      <c r="AT324" s="1"/>
      <c r="AU324" s="1"/>
      <c r="AV324" s="1"/>
      <c r="AW324" s="1"/>
      <c r="AX324" s="1"/>
      <c r="AY324" s="1"/>
      <c r="AZ324" s="1"/>
      <c r="BA324" s="1"/>
      <c r="BB324" s="1"/>
      <c r="BC324" s="1"/>
      <c r="BD324" s="1"/>
      <c r="BE324" s="1"/>
      <c r="BF324" s="1"/>
      <c r="BG324" s="1"/>
    </row>
    <row r="325" spans="1:59" ht="27" x14ac:dyDescent="0.35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  <c r="AA325" s="1"/>
      <c r="AB325" s="1"/>
      <c r="AC325" s="1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  <c r="AS325" s="1"/>
      <c r="AT325" s="1"/>
      <c r="AU325" s="1"/>
      <c r="AV325" s="1"/>
      <c r="AW325" s="1"/>
      <c r="AX325" s="1"/>
      <c r="AY325" s="1"/>
      <c r="AZ325" s="1"/>
      <c r="BA325" s="1"/>
      <c r="BB325" s="1"/>
      <c r="BC325" s="1"/>
      <c r="BD325" s="1"/>
      <c r="BE325" s="1"/>
      <c r="BF325" s="1"/>
      <c r="BG325" s="1"/>
    </row>
    <row r="326" spans="1:59" ht="27" x14ac:dyDescent="0.35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  <c r="AA326" s="1"/>
      <c r="AB326" s="1"/>
      <c r="AC326" s="1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  <c r="AS326" s="1"/>
      <c r="AT326" s="1"/>
      <c r="AU326" s="1"/>
      <c r="AV326" s="1"/>
      <c r="AW326" s="1"/>
      <c r="AX326" s="1"/>
      <c r="AY326" s="1"/>
      <c r="AZ326" s="1"/>
      <c r="BA326" s="1"/>
      <c r="BB326" s="1"/>
      <c r="BC326" s="1"/>
      <c r="BD326" s="1"/>
      <c r="BE326" s="1"/>
      <c r="BF326" s="1"/>
      <c r="BG326" s="1"/>
    </row>
    <row r="327" spans="1:59" ht="27" x14ac:dyDescent="0.35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  <c r="AA327" s="1"/>
      <c r="AB327" s="1"/>
      <c r="AC327" s="1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  <c r="AS327" s="1"/>
      <c r="AT327" s="1"/>
      <c r="AU327" s="1"/>
      <c r="AV327" s="1"/>
      <c r="AW327" s="1"/>
      <c r="AX327" s="1"/>
      <c r="AY327" s="1"/>
      <c r="AZ327" s="1"/>
      <c r="BA327" s="1"/>
      <c r="BB327" s="1"/>
      <c r="BC327" s="1"/>
      <c r="BD327" s="1"/>
      <c r="BE327" s="1"/>
      <c r="BF327" s="1"/>
      <c r="BG327" s="1"/>
    </row>
    <row r="328" spans="1:59" ht="27" x14ac:dyDescent="0.35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  <c r="AA328" s="1"/>
      <c r="AB328" s="1"/>
      <c r="AC328" s="1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  <c r="AS328" s="1"/>
      <c r="AT328" s="1"/>
      <c r="AU328" s="1"/>
      <c r="AV328" s="1"/>
      <c r="AW328" s="1"/>
      <c r="AX328" s="1"/>
      <c r="AY328" s="1"/>
      <c r="AZ328" s="1"/>
      <c r="BA328" s="1"/>
      <c r="BB328" s="1"/>
      <c r="BC328" s="1"/>
      <c r="BD328" s="1"/>
      <c r="BE328" s="1"/>
      <c r="BF328" s="1"/>
      <c r="BG328" s="1"/>
    </row>
    <row r="329" spans="1:59" ht="27" x14ac:dyDescent="0.35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  <c r="AA329" s="1"/>
      <c r="AB329" s="1"/>
      <c r="AC329" s="1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  <c r="AS329" s="1"/>
      <c r="AT329" s="1"/>
      <c r="AU329" s="1"/>
      <c r="AV329" s="1"/>
      <c r="AW329" s="1"/>
      <c r="AX329" s="1"/>
      <c r="AY329" s="1"/>
      <c r="AZ329" s="1"/>
      <c r="BA329" s="1"/>
      <c r="BB329" s="1"/>
      <c r="BC329" s="1"/>
      <c r="BD329" s="1"/>
      <c r="BE329" s="1"/>
      <c r="BF329" s="1"/>
      <c r="BG329" s="1"/>
    </row>
    <row r="330" spans="1:59" ht="27" x14ac:dyDescent="0.35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  <c r="AA330" s="1"/>
      <c r="AB330" s="1"/>
      <c r="AC330" s="1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  <c r="AS330" s="1"/>
      <c r="AT330" s="1"/>
      <c r="AU330" s="1"/>
      <c r="AV330" s="1"/>
      <c r="AW330" s="1"/>
      <c r="AX330" s="1"/>
      <c r="AY330" s="1"/>
      <c r="AZ330" s="1"/>
      <c r="BA330" s="1"/>
      <c r="BB330" s="1"/>
      <c r="BC330" s="1"/>
      <c r="BD330" s="1"/>
      <c r="BE330" s="1"/>
      <c r="BF330" s="1"/>
      <c r="BG330" s="1"/>
    </row>
    <row r="331" spans="1:59" ht="27" x14ac:dyDescent="0.35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  <c r="AA331" s="1"/>
      <c r="AB331" s="1"/>
      <c r="AC331" s="1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  <c r="AS331" s="1"/>
      <c r="AT331" s="1"/>
      <c r="AU331" s="1"/>
      <c r="AV331" s="1"/>
      <c r="AW331" s="1"/>
      <c r="AX331" s="1"/>
      <c r="AY331" s="1"/>
      <c r="AZ331" s="1"/>
      <c r="BA331" s="1"/>
      <c r="BB331" s="1"/>
      <c r="BC331" s="1"/>
      <c r="BD331" s="1"/>
      <c r="BE331" s="1"/>
      <c r="BF331" s="1"/>
      <c r="BG331" s="1"/>
    </row>
    <row r="332" spans="1:59" ht="27" x14ac:dyDescent="0.35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  <c r="AA332" s="1"/>
      <c r="AB332" s="1"/>
      <c r="AC332" s="1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  <c r="AS332" s="1"/>
      <c r="AT332" s="1"/>
      <c r="AU332" s="1"/>
      <c r="AV332" s="1"/>
      <c r="AW332" s="1"/>
      <c r="AX332" s="1"/>
      <c r="AY332" s="1"/>
      <c r="AZ332" s="1"/>
      <c r="BA332" s="1"/>
      <c r="BB332" s="1"/>
      <c r="BC332" s="1"/>
      <c r="BD332" s="1"/>
      <c r="BE332" s="1"/>
      <c r="BF332" s="1"/>
      <c r="BG332" s="1"/>
    </row>
    <row r="333" spans="1:59" ht="27" x14ac:dyDescent="0.35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  <c r="AA333" s="1"/>
      <c r="AB333" s="1"/>
      <c r="AC333" s="1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  <c r="AS333" s="1"/>
      <c r="AT333" s="1"/>
      <c r="AU333" s="1"/>
      <c r="AV333" s="1"/>
      <c r="AW333" s="1"/>
      <c r="AX333" s="1"/>
      <c r="AY333" s="1"/>
      <c r="AZ333" s="1"/>
      <c r="BA333" s="1"/>
      <c r="BB333" s="1"/>
      <c r="BC333" s="1"/>
      <c r="BD333" s="1"/>
      <c r="BE333" s="1"/>
      <c r="BF333" s="1"/>
      <c r="BG333" s="1"/>
    </row>
    <row r="334" spans="1:59" ht="27" x14ac:dyDescent="0.35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  <c r="AA334" s="1"/>
      <c r="AB334" s="1"/>
      <c r="AC334" s="1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  <c r="AS334" s="1"/>
      <c r="AT334" s="1"/>
      <c r="AU334" s="1"/>
      <c r="AV334" s="1"/>
      <c r="AW334" s="1"/>
      <c r="AX334" s="1"/>
      <c r="AY334" s="1"/>
      <c r="AZ334" s="1"/>
      <c r="BA334" s="1"/>
      <c r="BB334" s="1"/>
      <c r="BC334" s="1"/>
      <c r="BD334" s="1"/>
      <c r="BE334" s="1"/>
      <c r="BF334" s="1"/>
      <c r="BG334" s="1"/>
    </row>
    <row r="335" spans="1:59" ht="27" x14ac:dyDescent="0.35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  <c r="AA335" s="1"/>
      <c r="AB335" s="1"/>
      <c r="AC335" s="1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  <c r="AS335" s="1"/>
      <c r="AT335" s="1"/>
      <c r="AU335" s="1"/>
      <c r="AV335" s="1"/>
      <c r="AW335" s="1"/>
      <c r="AX335" s="1"/>
      <c r="AY335" s="1"/>
      <c r="AZ335" s="1"/>
      <c r="BA335" s="1"/>
      <c r="BB335" s="1"/>
      <c r="BC335" s="1"/>
      <c r="BD335" s="1"/>
      <c r="BE335" s="1"/>
      <c r="BF335" s="1"/>
      <c r="BG335" s="1"/>
    </row>
    <row r="336" spans="1:59" ht="27" x14ac:dyDescent="0.35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  <c r="AA336" s="1"/>
      <c r="AB336" s="1"/>
      <c r="AC336" s="1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  <c r="AS336" s="1"/>
      <c r="AT336" s="1"/>
      <c r="AU336" s="1"/>
      <c r="AV336" s="1"/>
      <c r="AW336" s="1"/>
      <c r="AX336" s="1"/>
      <c r="AY336" s="1"/>
      <c r="AZ336" s="1"/>
      <c r="BA336" s="1"/>
      <c r="BB336" s="1"/>
      <c r="BC336" s="1"/>
      <c r="BD336" s="1"/>
      <c r="BE336" s="1"/>
      <c r="BF336" s="1"/>
      <c r="BG336" s="1"/>
    </row>
    <row r="337" spans="1:59" ht="27" x14ac:dyDescent="0.35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  <c r="AA337" s="1"/>
      <c r="AB337" s="1"/>
      <c r="AC337" s="1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  <c r="AS337" s="1"/>
      <c r="AT337" s="1"/>
      <c r="AU337" s="1"/>
      <c r="AV337" s="1"/>
      <c r="AW337" s="1"/>
      <c r="AX337" s="1"/>
      <c r="AY337" s="1"/>
      <c r="AZ337" s="1"/>
      <c r="BA337" s="1"/>
      <c r="BB337" s="1"/>
      <c r="BC337" s="1"/>
      <c r="BD337" s="1"/>
      <c r="BE337" s="1"/>
      <c r="BF337" s="1"/>
      <c r="BG337" s="1"/>
    </row>
    <row r="338" spans="1:59" ht="27" x14ac:dyDescent="0.35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  <c r="AA338" s="1"/>
      <c r="AB338" s="1"/>
      <c r="AC338" s="1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  <c r="AS338" s="1"/>
      <c r="AT338" s="1"/>
      <c r="AU338" s="1"/>
      <c r="AV338" s="1"/>
      <c r="AW338" s="1"/>
      <c r="AX338" s="1"/>
      <c r="AY338" s="1"/>
      <c r="AZ338" s="1"/>
      <c r="BA338" s="1"/>
      <c r="BB338" s="1"/>
      <c r="BC338" s="1"/>
      <c r="BD338" s="1"/>
      <c r="BE338" s="1"/>
      <c r="BF338" s="1"/>
      <c r="BG338" s="1"/>
    </row>
    <row r="339" spans="1:59" ht="27" x14ac:dyDescent="0.35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  <c r="AA339" s="1"/>
      <c r="AB339" s="1"/>
      <c r="AC339" s="1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  <c r="AS339" s="1"/>
      <c r="AT339" s="1"/>
      <c r="AU339" s="1"/>
      <c r="AV339" s="1"/>
      <c r="AW339" s="1"/>
      <c r="AX339" s="1"/>
      <c r="AY339" s="1"/>
      <c r="AZ339" s="1"/>
      <c r="BA339" s="1"/>
      <c r="BB339" s="1"/>
      <c r="BC339" s="1"/>
      <c r="BD339" s="1"/>
      <c r="BE339" s="1"/>
      <c r="BF339" s="1"/>
      <c r="BG339" s="1"/>
    </row>
    <row r="340" spans="1:59" ht="27" x14ac:dyDescent="0.35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  <c r="AA340" s="1"/>
      <c r="AB340" s="1"/>
      <c r="AC340" s="1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  <c r="AS340" s="1"/>
      <c r="AT340" s="1"/>
      <c r="AU340" s="1"/>
      <c r="AV340" s="1"/>
      <c r="AW340" s="1"/>
      <c r="AX340" s="1"/>
      <c r="AY340" s="1"/>
      <c r="AZ340" s="1"/>
      <c r="BA340" s="1"/>
      <c r="BB340" s="1"/>
      <c r="BC340" s="1"/>
      <c r="BD340" s="1"/>
      <c r="BE340" s="1"/>
      <c r="BF340" s="1"/>
      <c r="BG340" s="1"/>
    </row>
    <row r="341" spans="1:59" ht="27" x14ac:dyDescent="0.35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  <c r="AA341" s="1"/>
      <c r="AB341" s="1"/>
      <c r="AC341" s="1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  <c r="AS341" s="1"/>
      <c r="AT341" s="1"/>
      <c r="AU341" s="1"/>
      <c r="AV341" s="1"/>
      <c r="AW341" s="1"/>
      <c r="AX341" s="1"/>
      <c r="AY341" s="1"/>
      <c r="AZ341" s="1"/>
      <c r="BA341" s="1"/>
      <c r="BB341" s="1"/>
      <c r="BC341" s="1"/>
      <c r="BD341" s="1"/>
      <c r="BE341" s="1"/>
      <c r="BF341" s="1"/>
      <c r="BG341" s="1"/>
    </row>
    <row r="342" spans="1:59" ht="27" x14ac:dyDescent="0.35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  <c r="AA342" s="1"/>
      <c r="AB342" s="1"/>
      <c r="AC342" s="1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  <c r="AS342" s="1"/>
      <c r="AT342" s="1"/>
      <c r="AU342" s="1"/>
      <c r="AV342" s="1"/>
      <c r="AW342" s="1"/>
      <c r="AX342" s="1"/>
      <c r="AY342" s="1"/>
      <c r="AZ342" s="1"/>
      <c r="BA342" s="1"/>
      <c r="BB342" s="1"/>
      <c r="BC342" s="1"/>
      <c r="BD342" s="1"/>
      <c r="BE342" s="1"/>
      <c r="BF342" s="1"/>
      <c r="BG342" s="1"/>
    </row>
    <row r="343" spans="1:59" ht="27" x14ac:dyDescent="0.35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  <c r="AA343" s="1"/>
      <c r="AB343" s="1"/>
      <c r="AC343" s="1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  <c r="AS343" s="1"/>
      <c r="AT343" s="1"/>
      <c r="AU343" s="1"/>
      <c r="AV343" s="1"/>
      <c r="AW343" s="1"/>
      <c r="AX343" s="1"/>
      <c r="AY343" s="1"/>
      <c r="AZ343" s="1"/>
      <c r="BA343" s="1"/>
      <c r="BB343" s="1"/>
      <c r="BC343" s="1"/>
      <c r="BD343" s="1"/>
      <c r="BE343" s="1"/>
      <c r="BF343" s="1"/>
      <c r="BG343" s="1"/>
    </row>
    <row r="344" spans="1:59" ht="27" x14ac:dyDescent="0.35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  <c r="AA344" s="1"/>
      <c r="AB344" s="1"/>
      <c r="AC344" s="1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  <c r="AS344" s="1"/>
      <c r="AT344" s="1"/>
      <c r="AU344" s="1"/>
      <c r="AV344" s="1"/>
      <c r="AW344" s="1"/>
      <c r="AX344" s="1"/>
      <c r="AY344" s="1"/>
      <c r="AZ344" s="1"/>
      <c r="BA344" s="1"/>
      <c r="BB344" s="1"/>
      <c r="BC344" s="1"/>
      <c r="BD344" s="1"/>
      <c r="BE344" s="1"/>
      <c r="BF344" s="1"/>
      <c r="BG344" s="1"/>
    </row>
    <row r="345" spans="1:59" ht="27" x14ac:dyDescent="0.35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  <c r="AA345" s="1"/>
      <c r="AB345" s="1"/>
      <c r="AC345" s="1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  <c r="AS345" s="1"/>
      <c r="AT345" s="1"/>
      <c r="AU345" s="1"/>
      <c r="AV345" s="1"/>
      <c r="AW345" s="1"/>
      <c r="AX345" s="1"/>
      <c r="AY345" s="1"/>
      <c r="AZ345" s="1"/>
      <c r="BA345" s="1"/>
      <c r="BB345" s="1"/>
      <c r="BC345" s="1"/>
      <c r="BD345" s="1"/>
      <c r="BE345" s="1"/>
      <c r="BF345" s="1"/>
      <c r="BG345" s="1"/>
    </row>
    <row r="346" spans="1:59" ht="27" x14ac:dyDescent="0.35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  <c r="AA346" s="1"/>
      <c r="AB346" s="1"/>
      <c r="AC346" s="1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  <c r="AS346" s="1"/>
      <c r="AT346" s="1"/>
      <c r="AU346" s="1"/>
      <c r="AV346" s="1"/>
      <c r="AW346" s="1"/>
      <c r="AX346" s="1"/>
      <c r="AY346" s="1"/>
      <c r="AZ346" s="1"/>
      <c r="BA346" s="1"/>
      <c r="BB346" s="1"/>
      <c r="BC346" s="1"/>
      <c r="BD346" s="1"/>
      <c r="BE346" s="1"/>
      <c r="BF346" s="1"/>
      <c r="BG346" s="1"/>
    </row>
    <row r="347" spans="1:59" ht="27" x14ac:dyDescent="0.35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  <c r="AA347" s="1"/>
      <c r="AB347" s="1"/>
      <c r="AC347" s="1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  <c r="AS347" s="1"/>
      <c r="AT347" s="1"/>
      <c r="AU347" s="1"/>
      <c r="AV347" s="1"/>
      <c r="AW347" s="1"/>
      <c r="AX347" s="1"/>
      <c r="AY347" s="1"/>
      <c r="AZ347" s="1"/>
      <c r="BA347" s="1"/>
      <c r="BB347" s="1"/>
      <c r="BC347" s="1"/>
      <c r="BD347" s="1"/>
      <c r="BE347" s="1"/>
      <c r="BF347" s="1"/>
      <c r="BG347" s="1"/>
    </row>
    <row r="348" spans="1:59" ht="27" x14ac:dyDescent="0.35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  <c r="AA348" s="1"/>
      <c r="AB348" s="1"/>
      <c r="AC348" s="1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  <c r="AS348" s="1"/>
      <c r="AT348" s="1"/>
      <c r="AU348" s="1"/>
      <c r="AV348" s="1"/>
      <c r="AW348" s="1"/>
      <c r="AX348" s="1"/>
      <c r="AY348" s="1"/>
      <c r="AZ348" s="1"/>
      <c r="BA348" s="1"/>
      <c r="BB348" s="1"/>
      <c r="BC348" s="1"/>
      <c r="BD348" s="1"/>
      <c r="BE348" s="1"/>
      <c r="BF348" s="1"/>
      <c r="BG348" s="1"/>
    </row>
    <row r="349" spans="1:59" ht="27" x14ac:dyDescent="0.35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  <c r="AA349" s="1"/>
      <c r="AB349" s="1"/>
      <c r="AC349" s="1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  <c r="AS349" s="1"/>
      <c r="AT349" s="1"/>
      <c r="AU349" s="1"/>
      <c r="AV349" s="1"/>
      <c r="AW349" s="1"/>
      <c r="AX349" s="1"/>
      <c r="AY349" s="1"/>
      <c r="AZ349" s="1"/>
      <c r="BA349" s="1"/>
      <c r="BB349" s="1"/>
      <c r="BC349" s="1"/>
      <c r="BD349" s="1"/>
      <c r="BE349" s="1"/>
      <c r="BF349" s="1"/>
      <c r="BG349" s="1"/>
    </row>
    <row r="350" spans="1:59" ht="27" x14ac:dyDescent="0.35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  <c r="AA350" s="1"/>
      <c r="AB350" s="1"/>
      <c r="AC350" s="1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  <c r="AS350" s="1"/>
      <c r="AT350" s="1"/>
      <c r="AU350" s="1"/>
      <c r="AV350" s="1"/>
      <c r="AW350" s="1"/>
      <c r="AX350" s="1"/>
      <c r="AY350" s="1"/>
      <c r="AZ350" s="1"/>
      <c r="BA350" s="1"/>
      <c r="BB350" s="1"/>
      <c r="BC350" s="1"/>
      <c r="BD350" s="1"/>
      <c r="BE350" s="1"/>
      <c r="BF350" s="1"/>
      <c r="BG350" s="1"/>
    </row>
    <row r="351" spans="1:59" ht="27" x14ac:dyDescent="0.35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  <c r="AA351" s="1"/>
      <c r="AB351" s="1"/>
      <c r="AC351" s="1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  <c r="AS351" s="1"/>
      <c r="AT351" s="1"/>
      <c r="AU351" s="1"/>
      <c r="AV351" s="1"/>
      <c r="AW351" s="1"/>
      <c r="AX351" s="1"/>
      <c r="AY351" s="1"/>
      <c r="AZ351" s="1"/>
      <c r="BA351" s="1"/>
      <c r="BB351" s="1"/>
      <c r="BC351" s="1"/>
      <c r="BD351" s="1"/>
      <c r="BE351" s="1"/>
      <c r="BF351" s="1"/>
      <c r="BG351" s="1"/>
    </row>
    <row r="352" spans="1:59" ht="27" x14ac:dyDescent="0.35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  <c r="AA352" s="1"/>
      <c r="AB352" s="1"/>
      <c r="AC352" s="1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  <c r="AS352" s="1"/>
      <c r="AT352" s="1"/>
      <c r="AU352" s="1"/>
      <c r="AV352" s="1"/>
      <c r="AW352" s="1"/>
      <c r="AX352" s="1"/>
      <c r="AY352" s="1"/>
      <c r="AZ352" s="1"/>
      <c r="BA352" s="1"/>
      <c r="BB352" s="1"/>
      <c r="BC352" s="1"/>
      <c r="BD352" s="1"/>
      <c r="BE352" s="1"/>
      <c r="BF352" s="1"/>
      <c r="BG352" s="1"/>
    </row>
    <row r="353" spans="1:59" ht="27" x14ac:dyDescent="0.35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  <c r="AA353" s="1"/>
      <c r="AB353" s="1"/>
      <c r="AC353" s="1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  <c r="AS353" s="1"/>
      <c r="AT353" s="1"/>
      <c r="AU353" s="1"/>
      <c r="AV353" s="1"/>
      <c r="AW353" s="1"/>
      <c r="AX353" s="1"/>
      <c r="AY353" s="1"/>
      <c r="AZ353" s="1"/>
      <c r="BA353" s="1"/>
      <c r="BB353" s="1"/>
      <c r="BC353" s="1"/>
      <c r="BD353" s="1"/>
      <c r="BE353" s="1"/>
      <c r="BF353" s="1"/>
      <c r="BG353" s="1"/>
    </row>
    <row r="354" spans="1:59" ht="27" x14ac:dyDescent="0.35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  <c r="AA354" s="1"/>
      <c r="AB354" s="1"/>
      <c r="AC354" s="1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  <c r="AS354" s="1"/>
      <c r="AT354" s="1"/>
      <c r="AU354" s="1"/>
      <c r="AV354" s="1"/>
      <c r="AW354" s="1"/>
      <c r="AX354" s="1"/>
      <c r="AY354" s="1"/>
      <c r="AZ354" s="1"/>
      <c r="BA354" s="1"/>
      <c r="BB354" s="1"/>
      <c r="BC354" s="1"/>
      <c r="BD354" s="1"/>
      <c r="BE354" s="1"/>
      <c r="BF354" s="1"/>
      <c r="BG354" s="1"/>
    </row>
    <row r="355" spans="1:59" ht="27" x14ac:dyDescent="0.35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  <c r="AA355" s="1"/>
      <c r="AB355" s="1"/>
      <c r="AC355" s="1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  <c r="AS355" s="1"/>
      <c r="AT355" s="1"/>
      <c r="AU355" s="1"/>
      <c r="AV355" s="1"/>
      <c r="AW355" s="1"/>
      <c r="AX355" s="1"/>
      <c r="AY355" s="1"/>
      <c r="AZ355" s="1"/>
      <c r="BA355" s="1"/>
      <c r="BB355" s="1"/>
      <c r="BC355" s="1"/>
      <c r="BD355" s="1"/>
      <c r="BE355" s="1"/>
      <c r="BF355" s="1"/>
      <c r="BG355" s="1"/>
    </row>
    <row r="356" spans="1:59" ht="27" x14ac:dyDescent="0.35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  <c r="AA356" s="1"/>
      <c r="AB356" s="1"/>
      <c r="AC356" s="1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  <c r="AS356" s="1"/>
      <c r="AT356" s="1"/>
      <c r="AU356" s="1"/>
      <c r="AV356" s="1"/>
      <c r="AW356" s="1"/>
      <c r="AX356" s="1"/>
      <c r="AY356" s="1"/>
      <c r="AZ356" s="1"/>
      <c r="BA356" s="1"/>
      <c r="BB356" s="1"/>
      <c r="BC356" s="1"/>
      <c r="BD356" s="1"/>
      <c r="BE356" s="1"/>
      <c r="BF356" s="1"/>
      <c r="BG356" s="1"/>
    </row>
    <row r="357" spans="1:59" ht="27" x14ac:dyDescent="0.35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  <c r="AA357" s="1"/>
      <c r="AB357" s="1"/>
      <c r="AC357" s="1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  <c r="AS357" s="1"/>
      <c r="AT357" s="1"/>
      <c r="AU357" s="1"/>
      <c r="AV357" s="1"/>
      <c r="AW357" s="1"/>
      <c r="AX357" s="1"/>
      <c r="AY357" s="1"/>
      <c r="AZ357" s="1"/>
      <c r="BA357" s="1"/>
      <c r="BB357" s="1"/>
      <c r="BC357" s="1"/>
      <c r="BD357" s="1"/>
      <c r="BE357" s="1"/>
      <c r="BF357" s="1"/>
      <c r="BG357" s="1"/>
    </row>
    <row r="358" spans="1:59" ht="27" x14ac:dyDescent="0.35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  <c r="AA358" s="1"/>
      <c r="AB358" s="1"/>
      <c r="AC358" s="1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  <c r="AS358" s="1"/>
      <c r="AT358" s="1"/>
      <c r="AU358" s="1"/>
      <c r="AV358" s="1"/>
      <c r="AW358" s="1"/>
      <c r="AX358" s="1"/>
      <c r="AY358" s="1"/>
      <c r="AZ358" s="1"/>
      <c r="BA358" s="1"/>
      <c r="BB358" s="1"/>
      <c r="BC358" s="1"/>
      <c r="BD358" s="1"/>
      <c r="BE358" s="1"/>
      <c r="BF358" s="1"/>
      <c r="BG358" s="1"/>
    </row>
    <row r="359" spans="1:59" ht="27" x14ac:dyDescent="0.35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  <c r="AA359" s="1"/>
      <c r="AB359" s="1"/>
      <c r="AC359" s="1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  <c r="AS359" s="1"/>
      <c r="AT359" s="1"/>
      <c r="AU359" s="1"/>
      <c r="AV359" s="1"/>
      <c r="AW359" s="1"/>
      <c r="AX359" s="1"/>
      <c r="AY359" s="1"/>
      <c r="AZ359" s="1"/>
      <c r="BA359" s="1"/>
      <c r="BB359" s="1"/>
      <c r="BC359" s="1"/>
      <c r="BD359" s="1"/>
      <c r="BE359" s="1"/>
      <c r="BF359" s="1"/>
      <c r="BG359" s="1"/>
    </row>
    <row r="360" spans="1:59" ht="27" x14ac:dyDescent="0.35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  <c r="AA360" s="1"/>
      <c r="AB360" s="1"/>
      <c r="AC360" s="1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  <c r="AS360" s="1"/>
      <c r="AT360" s="1"/>
      <c r="AU360" s="1"/>
      <c r="AV360" s="1"/>
      <c r="AW360" s="1"/>
      <c r="AX360" s="1"/>
      <c r="AY360" s="1"/>
      <c r="AZ360" s="1"/>
      <c r="BA360" s="1"/>
      <c r="BB360" s="1"/>
      <c r="BC360" s="1"/>
      <c r="BD360" s="1"/>
      <c r="BE360" s="1"/>
      <c r="BF360" s="1"/>
      <c r="BG360" s="1"/>
    </row>
    <row r="361" spans="1:59" ht="27" x14ac:dyDescent="0.35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  <c r="AA361" s="1"/>
      <c r="AB361" s="1"/>
      <c r="AC361" s="1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  <c r="AS361" s="1"/>
      <c r="AT361" s="1"/>
      <c r="AU361" s="1"/>
      <c r="AV361" s="1"/>
      <c r="AW361" s="1"/>
      <c r="AX361" s="1"/>
      <c r="AY361" s="1"/>
      <c r="AZ361" s="1"/>
      <c r="BA361" s="1"/>
      <c r="BB361" s="1"/>
      <c r="BC361" s="1"/>
      <c r="BD361" s="1"/>
      <c r="BE361" s="1"/>
      <c r="BF361" s="1"/>
      <c r="BG361" s="1"/>
    </row>
    <row r="362" spans="1:59" ht="27" x14ac:dyDescent="0.35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  <c r="AA362" s="1"/>
      <c r="AB362" s="1"/>
      <c r="AC362" s="1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  <c r="AS362" s="1"/>
      <c r="AT362" s="1"/>
      <c r="AU362" s="1"/>
      <c r="AV362" s="1"/>
      <c r="AW362" s="1"/>
      <c r="AX362" s="1"/>
      <c r="AY362" s="1"/>
      <c r="AZ362" s="1"/>
      <c r="BA362" s="1"/>
      <c r="BB362" s="1"/>
      <c r="BC362" s="1"/>
      <c r="BD362" s="1"/>
      <c r="BE362" s="1"/>
      <c r="BF362" s="1"/>
      <c r="BG362" s="1"/>
    </row>
    <row r="363" spans="1:59" ht="27" x14ac:dyDescent="0.35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  <c r="AA363" s="1"/>
      <c r="AB363" s="1"/>
      <c r="AC363" s="1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  <c r="AS363" s="1"/>
      <c r="AT363" s="1"/>
      <c r="AU363" s="1"/>
      <c r="AV363" s="1"/>
      <c r="AW363" s="1"/>
      <c r="AX363" s="1"/>
      <c r="AY363" s="1"/>
      <c r="AZ363" s="1"/>
      <c r="BA363" s="1"/>
      <c r="BB363" s="1"/>
      <c r="BC363" s="1"/>
      <c r="BD363" s="1"/>
      <c r="BE363" s="1"/>
      <c r="BF363" s="1"/>
      <c r="BG363" s="1"/>
    </row>
    <row r="364" spans="1:59" ht="27" x14ac:dyDescent="0.35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  <c r="AA364" s="1"/>
      <c r="AB364" s="1"/>
      <c r="AC364" s="1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  <c r="AS364" s="1"/>
      <c r="AT364" s="1"/>
      <c r="AU364" s="1"/>
      <c r="AV364" s="1"/>
      <c r="AW364" s="1"/>
      <c r="AX364" s="1"/>
      <c r="AY364" s="1"/>
      <c r="AZ364" s="1"/>
      <c r="BA364" s="1"/>
      <c r="BB364" s="1"/>
      <c r="BC364" s="1"/>
      <c r="BD364" s="1"/>
      <c r="BE364" s="1"/>
      <c r="BF364" s="1"/>
      <c r="BG364" s="1"/>
    </row>
    <row r="365" spans="1:59" ht="27" x14ac:dyDescent="0.35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  <c r="AA365" s="1"/>
      <c r="AB365" s="1"/>
      <c r="AC365" s="1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  <c r="AS365" s="1"/>
      <c r="AT365" s="1"/>
      <c r="AU365" s="1"/>
      <c r="AV365" s="1"/>
      <c r="AW365" s="1"/>
      <c r="AX365" s="1"/>
      <c r="AY365" s="1"/>
      <c r="AZ365" s="1"/>
      <c r="BA365" s="1"/>
      <c r="BB365" s="1"/>
      <c r="BC365" s="1"/>
      <c r="BD365" s="1"/>
      <c r="BE365" s="1"/>
      <c r="BF365" s="1"/>
      <c r="BG365" s="1"/>
    </row>
    <row r="366" spans="1:59" ht="27" x14ac:dyDescent="0.35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  <c r="AA366" s="1"/>
      <c r="AB366" s="1"/>
      <c r="AC366" s="1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  <c r="AS366" s="1"/>
      <c r="AT366" s="1"/>
      <c r="AU366" s="1"/>
      <c r="AV366" s="1"/>
      <c r="AW366" s="1"/>
      <c r="AX366" s="1"/>
      <c r="AY366" s="1"/>
      <c r="AZ366" s="1"/>
      <c r="BA366" s="1"/>
      <c r="BB366" s="1"/>
      <c r="BC366" s="1"/>
      <c r="BD366" s="1"/>
      <c r="BE366" s="1"/>
      <c r="BF366" s="1"/>
      <c r="BG366" s="1"/>
    </row>
    <row r="367" spans="1:59" ht="27" x14ac:dyDescent="0.35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  <c r="AA367" s="1"/>
      <c r="AB367" s="1"/>
      <c r="AC367" s="1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  <c r="AS367" s="1"/>
      <c r="AT367" s="1"/>
      <c r="AU367" s="1"/>
      <c r="AV367" s="1"/>
      <c r="AW367" s="1"/>
      <c r="AX367" s="1"/>
      <c r="AY367" s="1"/>
      <c r="AZ367" s="1"/>
      <c r="BA367" s="1"/>
      <c r="BB367" s="1"/>
      <c r="BC367" s="1"/>
      <c r="BD367" s="1"/>
      <c r="BE367" s="1"/>
      <c r="BF367" s="1"/>
      <c r="BG367" s="1"/>
    </row>
    <row r="368" spans="1:59" ht="27" x14ac:dyDescent="0.35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  <c r="AA368" s="1"/>
      <c r="AB368" s="1"/>
      <c r="AC368" s="1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  <c r="AS368" s="1"/>
      <c r="AT368" s="1"/>
      <c r="AU368" s="1"/>
      <c r="AV368" s="1"/>
      <c r="AW368" s="1"/>
      <c r="AX368" s="1"/>
      <c r="AY368" s="1"/>
      <c r="AZ368" s="1"/>
      <c r="BA368" s="1"/>
      <c r="BB368" s="1"/>
      <c r="BC368" s="1"/>
      <c r="BD368" s="1"/>
      <c r="BE368" s="1"/>
      <c r="BF368" s="1"/>
      <c r="BG368" s="1"/>
    </row>
    <row r="369" spans="1:59" ht="27" x14ac:dyDescent="0.35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  <c r="AA369" s="1"/>
      <c r="AB369" s="1"/>
      <c r="AC369" s="1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  <c r="AS369" s="1"/>
      <c r="AT369" s="1"/>
      <c r="AU369" s="1"/>
      <c r="AV369" s="1"/>
      <c r="AW369" s="1"/>
      <c r="AX369" s="1"/>
      <c r="AY369" s="1"/>
      <c r="AZ369" s="1"/>
      <c r="BA369" s="1"/>
      <c r="BB369" s="1"/>
      <c r="BC369" s="1"/>
      <c r="BD369" s="1"/>
      <c r="BE369" s="1"/>
      <c r="BF369" s="1"/>
      <c r="BG369" s="1"/>
    </row>
    <row r="370" spans="1:59" ht="27" x14ac:dyDescent="0.35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  <c r="AA370" s="1"/>
      <c r="AB370" s="1"/>
      <c r="AC370" s="1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  <c r="AS370" s="1"/>
      <c r="AT370" s="1"/>
      <c r="AU370" s="1"/>
      <c r="AV370" s="1"/>
      <c r="AW370" s="1"/>
      <c r="AX370" s="1"/>
      <c r="AY370" s="1"/>
      <c r="AZ370" s="1"/>
      <c r="BA370" s="1"/>
      <c r="BB370" s="1"/>
      <c r="BC370" s="1"/>
      <c r="BD370" s="1"/>
      <c r="BE370" s="1"/>
      <c r="BF370" s="1"/>
      <c r="BG370" s="1"/>
    </row>
    <row r="371" spans="1:59" ht="27" x14ac:dyDescent="0.35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  <c r="AA371" s="1"/>
      <c r="AB371" s="1"/>
      <c r="AC371" s="1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  <c r="AS371" s="1"/>
      <c r="AT371" s="1"/>
      <c r="AU371" s="1"/>
      <c r="AV371" s="1"/>
      <c r="AW371" s="1"/>
      <c r="AX371" s="1"/>
      <c r="AY371" s="1"/>
      <c r="AZ371" s="1"/>
      <c r="BA371" s="1"/>
      <c r="BB371" s="1"/>
      <c r="BC371" s="1"/>
      <c r="BD371" s="1"/>
      <c r="BE371" s="1"/>
      <c r="BF371" s="1"/>
      <c r="BG371" s="1"/>
    </row>
    <row r="372" spans="1:59" ht="27" x14ac:dyDescent="0.35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  <c r="AA372" s="1"/>
      <c r="AB372" s="1"/>
      <c r="AC372" s="1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  <c r="AS372" s="1"/>
      <c r="AT372" s="1"/>
      <c r="AU372" s="1"/>
      <c r="AV372" s="1"/>
      <c r="AW372" s="1"/>
      <c r="AX372" s="1"/>
      <c r="AY372" s="1"/>
      <c r="AZ372" s="1"/>
      <c r="BA372" s="1"/>
      <c r="BB372" s="1"/>
      <c r="BC372" s="1"/>
      <c r="BD372" s="1"/>
      <c r="BE372" s="1"/>
      <c r="BF372" s="1"/>
      <c r="BG372" s="1"/>
    </row>
    <row r="373" spans="1:59" ht="27" x14ac:dyDescent="0.35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  <c r="AA373" s="1"/>
      <c r="AB373" s="1"/>
      <c r="AC373" s="1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  <c r="AS373" s="1"/>
      <c r="AT373" s="1"/>
      <c r="AU373" s="1"/>
      <c r="AV373" s="1"/>
      <c r="AW373" s="1"/>
      <c r="AX373" s="1"/>
      <c r="AY373" s="1"/>
      <c r="AZ373" s="1"/>
      <c r="BA373" s="1"/>
      <c r="BB373" s="1"/>
      <c r="BC373" s="1"/>
      <c r="BD373" s="1"/>
      <c r="BE373" s="1"/>
      <c r="BF373" s="1"/>
      <c r="BG373" s="1"/>
    </row>
    <row r="374" spans="1:59" ht="27" x14ac:dyDescent="0.35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  <c r="AA374" s="1"/>
      <c r="AB374" s="1"/>
      <c r="AC374" s="1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  <c r="AS374" s="1"/>
      <c r="AT374" s="1"/>
      <c r="AU374" s="1"/>
      <c r="AV374" s="1"/>
      <c r="AW374" s="1"/>
      <c r="AX374" s="1"/>
      <c r="AY374" s="1"/>
      <c r="AZ374" s="1"/>
      <c r="BA374" s="1"/>
      <c r="BB374" s="1"/>
      <c r="BC374" s="1"/>
      <c r="BD374" s="1"/>
      <c r="BE374" s="1"/>
      <c r="BF374" s="1"/>
      <c r="BG374" s="1"/>
    </row>
    <row r="375" spans="1:59" ht="27" x14ac:dyDescent="0.35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  <c r="AA375" s="1"/>
      <c r="AB375" s="1"/>
      <c r="AC375" s="1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  <c r="AS375" s="1"/>
      <c r="AT375" s="1"/>
      <c r="AU375" s="1"/>
      <c r="AV375" s="1"/>
      <c r="AW375" s="1"/>
      <c r="AX375" s="1"/>
      <c r="AY375" s="1"/>
      <c r="AZ375" s="1"/>
      <c r="BA375" s="1"/>
      <c r="BB375" s="1"/>
      <c r="BC375" s="1"/>
      <c r="BD375" s="1"/>
      <c r="BE375" s="1"/>
      <c r="BF375" s="1"/>
      <c r="BG375" s="1"/>
    </row>
    <row r="376" spans="1:59" ht="27" x14ac:dyDescent="0.35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  <c r="AA376" s="1"/>
      <c r="AB376" s="1"/>
      <c r="AC376" s="1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  <c r="AS376" s="1"/>
      <c r="AT376" s="1"/>
      <c r="AU376" s="1"/>
      <c r="AV376" s="1"/>
      <c r="AW376" s="1"/>
      <c r="AX376" s="1"/>
      <c r="AY376" s="1"/>
      <c r="AZ376" s="1"/>
      <c r="BA376" s="1"/>
      <c r="BB376" s="1"/>
      <c r="BC376" s="1"/>
      <c r="BD376" s="1"/>
      <c r="BE376" s="1"/>
      <c r="BF376" s="1"/>
      <c r="BG376" s="1"/>
    </row>
    <row r="377" spans="1:59" ht="27" x14ac:dyDescent="0.35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  <c r="AA377" s="1"/>
      <c r="AB377" s="1"/>
      <c r="AC377" s="1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  <c r="AS377" s="1"/>
      <c r="AT377" s="1"/>
      <c r="AU377" s="1"/>
      <c r="AV377" s="1"/>
      <c r="AW377" s="1"/>
      <c r="AX377" s="1"/>
      <c r="AY377" s="1"/>
      <c r="AZ377" s="1"/>
      <c r="BA377" s="1"/>
      <c r="BB377" s="1"/>
      <c r="BC377" s="1"/>
      <c r="BD377" s="1"/>
      <c r="BE377" s="1"/>
      <c r="BF377" s="1"/>
      <c r="BG377" s="1"/>
    </row>
    <row r="378" spans="1:59" ht="27" x14ac:dyDescent="0.35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  <c r="AA378" s="1"/>
      <c r="AB378" s="1"/>
      <c r="AC378" s="1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  <c r="AS378" s="1"/>
      <c r="AT378" s="1"/>
      <c r="AU378" s="1"/>
      <c r="AV378" s="1"/>
      <c r="AW378" s="1"/>
      <c r="AX378" s="1"/>
      <c r="AY378" s="1"/>
      <c r="AZ378" s="1"/>
      <c r="BA378" s="1"/>
      <c r="BB378" s="1"/>
      <c r="BC378" s="1"/>
      <c r="BD378" s="1"/>
      <c r="BE378" s="1"/>
      <c r="BF378" s="1"/>
      <c r="BG378" s="1"/>
    </row>
    <row r="379" spans="1:59" ht="27" x14ac:dyDescent="0.35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  <c r="AA379" s="1"/>
      <c r="AB379" s="1"/>
      <c r="AC379" s="1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  <c r="AS379" s="1"/>
      <c r="AT379" s="1"/>
      <c r="AU379" s="1"/>
      <c r="AV379" s="1"/>
      <c r="AW379" s="1"/>
      <c r="AX379" s="1"/>
      <c r="AY379" s="1"/>
      <c r="AZ379" s="1"/>
      <c r="BA379" s="1"/>
      <c r="BB379" s="1"/>
      <c r="BC379" s="1"/>
      <c r="BD379" s="1"/>
      <c r="BE379" s="1"/>
      <c r="BF379" s="1"/>
      <c r="BG379" s="1"/>
    </row>
    <row r="380" spans="1:59" ht="27" x14ac:dyDescent="0.35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  <c r="AA380" s="1"/>
      <c r="AB380" s="1"/>
      <c r="AC380" s="1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  <c r="AS380" s="1"/>
      <c r="AT380" s="1"/>
      <c r="AU380" s="1"/>
      <c r="AV380" s="1"/>
      <c r="AW380" s="1"/>
      <c r="AX380" s="1"/>
      <c r="AY380" s="1"/>
      <c r="AZ380" s="1"/>
      <c r="BA380" s="1"/>
      <c r="BB380" s="1"/>
      <c r="BC380" s="1"/>
      <c r="BD380" s="1"/>
      <c r="BE380" s="1"/>
      <c r="BF380" s="1"/>
      <c r="BG380" s="1"/>
    </row>
    <row r="381" spans="1:59" ht="27" x14ac:dyDescent="0.35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  <c r="AA381" s="1"/>
      <c r="AB381" s="1"/>
      <c r="AC381" s="1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  <c r="AS381" s="1"/>
      <c r="AT381" s="1"/>
      <c r="AU381" s="1"/>
      <c r="AV381" s="1"/>
      <c r="AW381" s="1"/>
      <c r="AX381" s="1"/>
      <c r="AY381" s="1"/>
      <c r="AZ381" s="1"/>
      <c r="BA381" s="1"/>
      <c r="BB381" s="1"/>
      <c r="BC381" s="1"/>
      <c r="BD381" s="1"/>
      <c r="BE381" s="1"/>
      <c r="BF381" s="1"/>
      <c r="BG381" s="1"/>
    </row>
    <row r="382" spans="1:59" ht="27" x14ac:dyDescent="0.35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  <c r="AA382" s="1"/>
      <c r="AB382" s="1"/>
      <c r="AC382" s="1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  <c r="AS382" s="1"/>
      <c r="AT382" s="1"/>
      <c r="AU382" s="1"/>
      <c r="AV382" s="1"/>
      <c r="AW382" s="1"/>
      <c r="AX382" s="1"/>
      <c r="AY382" s="1"/>
      <c r="AZ382" s="1"/>
      <c r="BA382" s="1"/>
      <c r="BB382" s="1"/>
      <c r="BC382" s="1"/>
      <c r="BD382" s="1"/>
      <c r="BE382" s="1"/>
      <c r="BF382" s="1"/>
      <c r="BG382" s="1"/>
    </row>
    <row r="383" spans="1:59" ht="27" x14ac:dyDescent="0.35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  <c r="AA383" s="1"/>
      <c r="AB383" s="1"/>
      <c r="AC383" s="1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  <c r="AS383" s="1"/>
      <c r="AT383" s="1"/>
      <c r="AU383" s="1"/>
      <c r="AV383" s="1"/>
      <c r="AW383" s="1"/>
      <c r="AX383" s="1"/>
      <c r="AY383" s="1"/>
      <c r="AZ383" s="1"/>
      <c r="BA383" s="1"/>
      <c r="BB383" s="1"/>
      <c r="BC383" s="1"/>
      <c r="BD383" s="1"/>
      <c r="BE383" s="1"/>
      <c r="BF383" s="1"/>
      <c r="BG383" s="1"/>
    </row>
    <row r="384" spans="1:59" ht="27" x14ac:dyDescent="0.35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  <c r="AA384" s="1"/>
      <c r="AB384" s="1"/>
      <c r="AC384" s="1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  <c r="AS384" s="1"/>
      <c r="AT384" s="1"/>
      <c r="AU384" s="1"/>
      <c r="AV384" s="1"/>
      <c r="AW384" s="1"/>
      <c r="AX384" s="1"/>
      <c r="AY384" s="1"/>
      <c r="AZ384" s="1"/>
      <c r="BA384" s="1"/>
      <c r="BB384" s="1"/>
      <c r="BC384" s="1"/>
      <c r="BD384" s="1"/>
      <c r="BE384" s="1"/>
      <c r="BF384" s="1"/>
      <c r="BG384" s="1"/>
    </row>
    <row r="385" spans="1:59" ht="27" x14ac:dyDescent="0.35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  <c r="AA385" s="1"/>
      <c r="AB385" s="1"/>
      <c r="AC385" s="1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  <c r="AS385" s="1"/>
      <c r="AT385" s="1"/>
      <c r="AU385" s="1"/>
      <c r="AV385" s="1"/>
      <c r="AW385" s="1"/>
      <c r="AX385" s="1"/>
      <c r="AY385" s="1"/>
      <c r="AZ385" s="1"/>
      <c r="BA385" s="1"/>
      <c r="BB385" s="1"/>
      <c r="BC385" s="1"/>
      <c r="BD385" s="1"/>
      <c r="BE385" s="1"/>
      <c r="BF385" s="1"/>
      <c r="BG385" s="1"/>
    </row>
    <row r="386" spans="1:59" ht="27" x14ac:dyDescent="0.35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  <c r="AA386" s="1"/>
      <c r="AB386" s="1"/>
      <c r="AC386" s="1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  <c r="AS386" s="1"/>
      <c r="AT386" s="1"/>
      <c r="AU386" s="1"/>
      <c r="AV386" s="1"/>
      <c r="AW386" s="1"/>
      <c r="AX386" s="1"/>
      <c r="AY386" s="1"/>
      <c r="AZ386" s="1"/>
      <c r="BA386" s="1"/>
      <c r="BB386" s="1"/>
      <c r="BC386" s="1"/>
      <c r="BD386" s="1"/>
      <c r="BE386" s="1"/>
      <c r="BF386" s="1"/>
      <c r="BG386" s="1"/>
    </row>
    <row r="387" spans="1:59" ht="27" x14ac:dyDescent="0.35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  <c r="AA387" s="1"/>
      <c r="AB387" s="1"/>
      <c r="AC387" s="1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  <c r="AS387" s="1"/>
      <c r="AT387" s="1"/>
      <c r="AU387" s="1"/>
      <c r="AV387" s="1"/>
      <c r="AW387" s="1"/>
      <c r="AX387" s="1"/>
      <c r="AY387" s="1"/>
      <c r="AZ387" s="1"/>
      <c r="BA387" s="1"/>
      <c r="BB387" s="1"/>
      <c r="BC387" s="1"/>
      <c r="BD387" s="1"/>
      <c r="BE387" s="1"/>
      <c r="BF387" s="1"/>
      <c r="BG387" s="1"/>
    </row>
    <row r="388" spans="1:59" ht="27" x14ac:dyDescent="0.35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  <c r="AA388" s="1"/>
      <c r="AB388" s="1"/>
      <c r="AC388" s="1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  <c r="AS388" s="1"/>
      <c r="AT388" s="1"/>
      <c r="AU388" s="1"/>
      <c r="AV388" s="1"/>
      <c r="AW388" s="1"/>
      <c r="AX388" s="1"/>
      <c r="AY388" s="1"/>
      <c r="AZ388" s="1"/>
      <c r="BA388" s="1"/>
      <c r="BB388" s="1"/>
      <c r="BC388" s="1"/>
      <c r="BD388" s="1"/>
      <c r="BE388" s="1"/>
      <c r="BF388" s="1"/>
      <c r="BG388" s="1"/>
    </row>
    <row r="389" spans="1:59" ht="27" x14ac:dyDescent="0.35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  <c r="AA389" s="1"/>
      <c r="AB389" s="1"/>
      <c r="AC389" s="1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  <c r="AS389" s="1"/>
      <c r="AT389" s="1"/>
      <c r="AU389" s="1"/>
      <c r="AV389" s="1"/>
      <c r="AW389" s="1"/>
      <c r="AX389" s="1"/>
      <c r="AY389" s="1"/>
      <c r="AZ389" s="1"/>
      <c r="BA389" s="1"/>
      <c r="BB389" s="1"/>
      <c r="BC389" s="1"/>
      <c r="BD389" s="1"/>
      <c r="BE389" s="1"/>
      <c r="BF389" s="1"/>
      <c r="BG389" s="1"/>
    </row>
    <row r="390" spans="1:59" ht="27" x14ac:dyDescent="0.35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  <c r="AA390" s="1"/>
      <c r="AB390" s="1"/>
      <c r="AC390" s="1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  <c r="AS390" s="1"/>
      <c r="AT390" s="1"/>
      <c r="AU390" s="1"/>
      <c r="AV390" s="1"/>
      <c r="AW390" s="1"/>
      <c r="AX390" s="1"/>
      <c r="AY390" s="1"/>
      <c r="AZ390" s="1"/>
      <c r="BA390" s="1"/>
      <c r="BB390" s="1"/>
      <c r="BC390" s="1"/>
      <c r="BD390" s="1"/>
      <c r="BE390" s="1"/>
      <c r="BF390" s="1"/>
      <c r="BG390" s="1"/>
    </row>
    <row r="391" spans="1:59" ht="27" x14ac:dyDescent="0.35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  <c r="AA391" s="1"/>
      <c r="AB391" s="1"/>
      <c r="AC391" s="1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  <c r="AS391" s="1"/>
      <c r="AT391" s="1"/>
      <c r="AU391" s="1"/>
      <c r="AV391" s="1"/>
      <c r="AW391" s="1"/>
      <c r="AX391" s="1"/>
      <c r="AY391" s="1"/>
      <c r="AZ391" s="1"/>
      <c r="BA391" s="1"/>
      <c r="BB391" s="1"/>
      <c r="BC391" s="1"/>
      <c r="BD391" s="1"/>
      <c r="BE391" s="1"/>
      <c r="BF391" s="1"/>
      <c r="BG391" s="1"/>
    </row>
    <row r="392" spans="1:59" ht="27" x14ac:dyDescent="0.35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  <c r="AA392" s="1"/>
      <c r="AB392" s="1"/>
      <c r="AC392" s="1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  <c r="AS392" s="1"/>
      <c r="AT392" s="1"/>
      <c r="AU392" s="1"/>
      <c r="AV392" s="1"/>
      <c r="AW392" s="1"/>
      <c r="AX392" s="1"/>
      <c r="AY392" s="1"/>
      <c r="AZ392" s="1"/>
      <c r="BA392" s="1"/>
      <c r="BB392" s="1"/>
      <c r="BC392" s="1"/>
      <c r="BD392" s="1"/>
      <c r="BE392" s="1"/>
      <c r="BF392" s="1"/>
      <c r="BG392" s="1"/>
    </row>
    <row r="393" spans="1:59" ht="27" x14ac:dyDescent="0.35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  <c r="AA393" s="1"/>
      <c r="AB393" s="1"/>
      <c r="AC393" s="1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  <c r="AS393" s="1"/>
      <c r="AT393" s="1"/>
      <c r="AU393" s="1"/>
      <c r="AV393" s="1"/>
      <c r="AW393" s="1"/>
      <c r="AX393" s="1"/>
      <c r="AY393" s="1"/>
      <c r="AZ393" s="1"/>
      <c r="BA393" s="1"/>
      <c r="BB393" s="1"/>
      <c r="BC393" s="1"/>
      <c r="BD393" s="1"/>
      <c r="BE393" s="1"/>
      <c r="BF393" s="1"/>
      <c r="BG393" s="1"/>
    </row>
    <row r="394" spans="1:59" ht="27" x14ac:dyDescent="0.35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  <c r="AA394" s="1"/>
      <c r="AB394" s="1"/>
      <c r="AC394" s="1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  <c r="AS394" s="1"/>
      <c r="AT394" s="1"/>
      <c r="AU394" s="1"/>
      <c r="AV394" s="1"/>
      <c r="AW394" s="1"/>
      <c r="AX394" s="1"/>
      <c r="AY394" s="1"/>
      <c r="AZ394" s="1"/>
      <c r="BA394" s="1"/>
      <c r="BB394" s="1"/>
      <c r="BC394" s="1"/>
      <c r="BD394" s="1"/>
      <c r="BE394" s="1"/>
      <c r="BF394" s="1"/>
      <c r="BG394" s="1"/>
    </row>
    <row r="395" spans="1:59" ht="27" x14ac:dyDescent="0.35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  <c r="AA395" s="1"/>
      <c r="AB395" s="1"/>
      <c r="AC395" s="1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  <c r="AS395" s="1"/>
      <c r="AT395" s="1"/>
      <c r="AU395" s="1"/>
      <c r="AV395" s="1"/>
      <c r="AW395" s="1"/>
      <c r="AX395" s="1"/>
      <c r="AY395" s="1"/>
      <c r="AZ395" s="1"/>
      <c r="BA395" s="1"/>
      <c r="BB395" s="1"/>
      <c r="BC395" s="1"/>
      <c r="BD395" s="1"/>
      <c r="BE395" s="1"/>
      <c r="BF395" s="1"/>
      <c r="BG395" s="1"/>
    </row>
    <row r="396" spans="1:59" ht="27" x14ac:dyDescent="0.35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  <c r="AA396" s="1"/>
      <c r="AB396" s="1"/>
      <c r="AC396" s="1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  <c r="AS396" s="1"/>
      <c r="AT396" s="1"/>
      <c r="AU396" s="1"/>
      <c r="AV396" s="1"/>
      <c r="AW396" s="1"/>
      <c r="AX396" s="1"/>
      <c r="AY396" s="1"/>
      <c r="AZ396" s="1"/>
      <c r="BA396" s="1"/>
      <c r="BB396" s="1"/>
      <c r="BC396" s="1"/>
      <c r="BD396" s="1"/>
      <c r="BE396" s="1"/>
      <c r="BF396" s="1"/>
      <c r="BG396" s="1"/>
    </row>
    <row r="397" spans="1:59" ht="27" x14ac:dyDescent="0.35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  <c r="AA397" s="1"/>
      <c r="AB397" s="1"/>
      <c r="AC397" s="1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  <c r="AS397" s="1"/>
      <c r="AT397" s="1"/>
      <c r="AU397" s="1"/>
      <c r="AV397" s="1"/>
      <c r="AW397" s="1"/>
      <c r="AX397" s="1"/>
      <c r="AY397" s="1"/>
      <c r="AZ397" s="1"/>
      <c r="BA397" s="1"/>
      <c r="BB397" s="1"/>
      <c r="BC397" s="1"/>
      <c r="BD397" s="1"/>
      <c r="BE397" s="1"/>
      <c r="BF397" s="1"/>
      <c r="BG397" s="1"/>
    </row>
    <row r="398" spans="1:59" ht="27" x14ac:dyDescent="0.35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  <c r="AA398" s="1"/>
      <c r="AB398" s="1"/>
      <c r="AC398" s="1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  <c r="AS398" s="1"/>
      <c r="AT398" s="1"/>
      <c r="AU398" s="1"/>
      <c r="AV398" s="1"/>
      <c r="AW398" s="1"/>
      <c r="AX398" s="1"/>
      <c r="AY398" s="1"/>
      <c r="AZ398" s="1"/>
      <c r="BA398" s="1"/>
      <c r="BB398" s="1"/>
      <c r="BC398" s="1"/>
      <c r="BD398" s="1"/>
      <c r="BE398" s="1"/>
      <c r="BF398" s="1"/>
      <c r="BG398" s="1"/>
    </row>
    <row r="399" spans="1:59" ht="27" x14ac:dyDescent="0.35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  <c r="AA399" s="1"/>
      <c r="AB399" s="1"/>
      <c r="AC399" s="1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  <c r="AS399" s="1"/>
      <c r="AT399" s="1"/>
      <c r="AU399" s="1"/>
      <c r="AV399" s="1"/>
      <c r="AW399" s="1"/>
      <c r="AX399" s="1"/>
      <c r="AY399" s="1"/>
      <c r="AZ399" s="1"/>
      <c r="BA399" s="1"/>
      <c r="BB399" s="1"/>
      <c r="BC399" s="1"/>
      <c r="BD399" s="1"/>
      <c r="BE399" s="1"/>
      <c r="BF399" s="1"/>
      <c r="BG399" s="1"/>
    </row>
    <row r="400" spans="1:59" ht="27" x14ac:dyDescent="0.35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  <c r="AA400" s="1"/>
      <c r="AB400" s="1"/>
      <c r="AC400" s="1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  <c r="AS400" s="1"/>
      <c r="AT400" s="1"/>
      <c r="AU400" s="1"/>
      <c r="AV400" s="1"/>
      <c r="AW400" s="1"/>
      <c r="AX400" s="1"/>
      <c r="AY400" s="1"/>
      <c r="AZ400" s="1"/>
      <c r="BA400" s="1"/>
      <c r="BB400" s="1"/>
      <c r="BC400" s="1"/>
      <c r="BD400" s="1"/>
      <c r="BE400" s="1"/>
      <c r="BF400" s="1"/>
      <c r="BG400" s="1"/>
    </row>
    <row r="401" spans="1:59" ht="27" x14ac:dyDescent="0.35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  <c r="AA401" s="1"/>
      <c r="AB401" s="1"/>
      <c r="AC401" s="1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  <c r="AS401" s="1"/>
      <c r="AT401" s="1"/>
      <c r="AU401" s="1"/>
      <c r="AV401" s="1"/>
      <c r="AW401" s="1"/>
      <c r="AX401" s="1"/>
      <c r="AY401" s="1"/>
      <c r="AZ401" s="1"/>
      <c r="BA401" s="1"/>
      <c r="BB401" s="1"/>
      <c r="BC401" s="1"/>
      <c r="BD401" s="1"/>
      <c r="BE401" s="1"/>
      <c r="BF401" s="1"/>
      <c r="BG401" s="1"/>
    </row>
    <row r="402" spans="1:59" ht="27" x14ac:dyDescent="0.35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  <c r="AA402" s="1"/>
      <c r="AB402" s="1"/>
      <c r="AC402" s="1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  <c r="AS402" s="1"/>
      <c r="AT402" s="1"/>
      <c r="AU402" s="1"/>
      <c r="AV402" s="1"/>
      <c r="AW402" s="1"/>
      <c r="AX402" s="1"/>
      <c r="AY402" s="1"/>
      <c r="AZ402" s="1"/>
      <c r="BA402" s="1"/>
      <c r="BB402" s="1"/>
      <c r="BC402" s="1"/>
      <c r="BD402" s="1"/>
      <c r="BE402" s="1"/>
      <c r="BF402" s="1"/>
      <c r="BG402" s="1"/>
    </row>
    <row r="403" spans="1:59" ht="27" x14ac:dyDescent="0.35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  <c r="AA403" s="1"/>
      <c r="AB403" s="1"/>
      <c r="AC403" s="1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  <c r="AS403" s="1"/>
      <c r="AT403" s="1"/>
      <c r="AU403" s="1"/>
      <c r="AV403" s="1"/>
      <c r="AW403" s="1"/>
      <c r="AX403" s="1"/>
      <c r="AY403" s="1"/>
      <c r="AZ403" s="1"/>
      <c r="BA403" s="1"/>
      <c r="BB403" s="1"/>
      <c r="BC403" s="1"/>
      <c r="BD403" s="1"/>
      <c r="BE403" s="1"/>
      <c r="BF403" s="1"/>
      <c r="BG403" s="1"/>
    </row>
    <row r="404" spans="1:59" ht="27" x14ac:dyDescent="0.35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  <c r="AA404" s="1"/>
      <c r="AB404" s="1"/>
      <c r="AC404" s="1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  <c r="AS404" s="1"/>
      <c r="AT404" s="1"/>
      <c r="AU404" s="1"/>
      <c r="AV404" s="1"/>
      <c r="AW404" s="1"/>
      <c r="AX404" s="1"/>
      <c r="AY404" s="1"/>
      <c r="AZ404" s="1"/>
      <c r="BA404" s="1"/>
      <c r="BB404" s="1"/>
      <c r="BC404" s="1"/>
      <c r="BD404" s="1"/>
      <c r="BE404" s="1"/>
      <c r="BF404" s="1"/>
      <c r="BG404" s="1"/>
    </row>
    <row r="405" spans="1:59" ht="27" x14ac:dyDescent="0.35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  <c r="AA405" s="1"/>
      <c r="AB405" s="1"/>
      <c r="AC405" s="1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  <c r="AS405" s="1"/>
      <c r="AT405" s="1"/>
      <c r="AU405" s="1"/>
      <c r="AV405" s="1"/>
      <c r="AW405" s="1"/>
      <c r="AX405" s="1"/>
      <c r="AY405" s="1"/>
      <c r="AZ405" s="1"/>
      <c r="BA405" s="1"/>
      <c r="BB405" s="1"/>
      <c r="BC405" s="1"/>
      <c r="BD405" s="1"/>
      <c r="BE405" s="1"/>
      <c r="BF405" s="1"/>
      <c r="BG405" s="1"/>
    </row>
    <row r="406" spans="1:59" ht="27" x14ac:dyDescent="0.35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  <c r="AA406" s="1"/>
      <c r="AB406" s="1"/>
      <c r="AC406" s="1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  <c r="AS406" s="1"/>
      <c r="AT406" s="1"/>
      <c r="AU406" s="1"/>
      <c r="AV406" s="1"/>
      <c r="AW406" s="1"/>
      <c r="AX406" s="1"/>
      <c r="AY406" s="1"/>
      <c r="AZ406" s="1"/>
      <c r="BA406" s="1"/>
      <c r="BB406" s="1"/>
      <c r="BC406" s="1"/>
      <c r="BD406" s="1"/>
      <c r="BE406" s="1"/>
      <c r="BF406" s="1"/>
      <c r="BG406" s="1"/>
    </row>
    <row r="407" spans="1:59" ht="27" x14ac:dyDescent="0.35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  <c r="AA407" s="1"/>
      <c r="AB407" s="1"/>
      <c r="AC407" s="1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  <c r="AS407" s="1"/>
      <c r="AT407" s="1"/>
      <c r="AU407" s="1"/>
      <c r="AV407" s="1"/>
      <c r="AW407" s="1"/>
      <c r="AX407" s="1"/>
      <c r="AY407" s="1"/>
      <c r="AZ407" s="1"/>
      <c r="BA407" s="1"/>
      <c r="BB407" s="1"/>
      <c r="BC407" s="1"/>
      <c r="BD407" s="1"/>
      <c r="BE407" s="1"/>
      <c r="BF407" s="1"/>
      <c r="BG407" s="1"/>
    </row>
    <row r="408" spans="1:59" ht="27" x14ac:dyDescent="0.35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  <c r="AA408" s="1"/>
      <c r="AB408" s="1"/>
      <c r="AC408" s="1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  <c r="AS408" s="1"/>
      <c r="AT408" s="1"/>
      <c r="AU408" s="1"/>
      <c r="AV408" s="1"/>
      <c r="AW408" s="1"/>
      <c r="AX408" s="1"/>
      <c r="AY408" s="1"/>
      <c r="AZ408" s="1"/>
      <c r="BA408" s="1"/>
      <c r="BB408" s="1"/>
      <c r="BC408" s="1"/>
      <c r="BD408" s="1"/>
      <c r="BE408" s="1"/>
      <c r="BF408" s="1"/>
      <c r="BG408" s="1"/>
    </row>
    <row r="409" spans="1:59" ht="27" x14ac:dyDescent="0.35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  <c r="AA409" s="1"/>
      <c r="AB409" s="1"/>
      <c r="AC409" s="1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  <c r="AS409" s="1"/>
      <c r="AT409" s="1"/>
      <c r="AU409" s="1"/>
      <c r="AV409" s="1"/>
      <c r="AW409" s="1"/>
      <c r="AX409" s="1"/>
      <c r="AY409" s="1"/>
      <c r="AZ409" s="1"/>
      <c r="BA409" s="1"/>
      <c r="BB409" s="1"/>
      <c r="BC409" s="1"/>
      <c r="BD409" s="1"/>
      <c r="BE409" s="1"/>
      <c r="BF409" s="1"/>
      <c r="BG409" s="1"/>
    </row>
    <row r="410" spans="1:59" ht="27" x14ac:dyDescent="0.35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  <c r="AA410" s="1"/>
      <c r="AB410" s="1"/>
      <c r="AC410" s="1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  <c r="AS410" s="1"/>
      <c r="AT410" s="1"/>
      <c r="AU410" s="1"/>
      <c r="AV410" s="1"/>
      <c r="AW410" s="1"/>
      <c r="AX410" s="1"/>
      <c r="AY410" s="1"/>
      <c r="AZ410" s="1"/>
      <c r="BA410" s="1"/>
      <c r="BB410" s="1"/>
      <c r="BC410" s="1"/>
      <c r="BD410" s="1"/>
      <c r="BE410" s="1"/>
      <c r="BF410" s="1"/>
      <c r="BG410" s="1"/>
    </row>
    <row r="411" spans="1:59" ht="27" x14ac:dyDescent="0.35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  <c r="AA411" s="1"/>
      <c r="AB411" s="1"/>
      <c r="AC411" s="1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  <c r="AS411" s="1"/>
      <c r="AT411" s="1"/>
      <c r="AU411" s="1"/>
      <c r="AV411" s="1"/>
      <c r="AW411" s="1"/>
      <c r="AX411" s="1"/>
      <c r="AY411" s="1"/>
      <c r="AZ411" s="1"/>
      <c r="BA411" s="1"/>
      <c r="BB411" s="1"/>
      <c r="BC411" s="1"/>
      <c r="BD411" s="1"/>
      <c r="BE411" s="1"/>
      <c r="BF411" s="1"/>
      <c r="BG411" s="1"/>
    </row>
    <row r="412" spans="1:59" ht="27" x14ac:dyDescent="0.35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  <c r="AA412" s="1"/>
      <c r="AB412" s="1"/>
      <c r="AC412" s="1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  <c r="AS412" s="1"/>
      <c r="AT412" s="1"/>
      <c r="AU412" s="1"/>
      <c r="AV412" s="1"/>
      <c r="AW412" s="1"/>
      <c r="AX412" s="1"/>
      <c r="AY412" s="1"/>
      <c r="AZ412" s="1"/>
      <c r="BA412" s="1"/>
      <c r="BB412" s="1"/>
      <c r="BC412" s="1"/>
      <c r="BD412" s="1"/>
      <c r="BE412" s="1"/>
      <c r="BF412" s="1"/>
      <c r="BG412" s="1"/>
    </row>
    <row r="413" spans="1:59" ht="27" x14ac:dyDescent="0.35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  <c r="AA413" s="1"/>
      <c r="AB413" s="1"/>
      <c r="AC413" s="1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  <c r="AS413" s="1"/>
      <c r="AT413" s="1"/>
      <c r="AU413" s="1"/>
      <c r="AV413" s="1"/>
      <c r="AW413" s="1"/>
      <c r="AX413" s="1"/>
      <c r="AY413" s="1"/>
      <c r="AZ413" s="1"/>
      <c r="BA413" s="1"/>
      <c r="BB413" s="1"/>
      <c r="BC413" s="1"/>
      <c r="BD413" s="1"/>
      <c r="BE413" s="1"/>
      <c r="BF413" s="1"/>
      <c r="BG413" s="1"/>
    </row>
    <row r="414" spans="1:59" ht="27" x14ac:dyDescent="0.35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  <c r="AA414" s="1"/>
      <c r="AB414" s="1"/>
      <c r="AC414" s="1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  <c r="AS414" s="1"/>
      <c r="AT414" s="1"/>
      <c r="AU414" s="1"/>
      <c r="AV414" s="1"/>
      <c r="AW414" s="1"/>
      <c r="AX414" s="1"/>
      <c r="AY414" s="1"/>
      <c r="AZ414" s="1"/>
      <c r="BA414" s="1"/>
      <c r="BB414" s="1"/>
      <c r="BC414" s="1"/>
      <c r="BD414" s="1"/>
      <c r="BE414" s="1"/>
      <c r="BF414" s="1"/>
      <c r="BG414" s="1"/>
    </row>
    <row r="415" spans="1:59" ht="27" x14ac:dyDescent="0.35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  <c r="AA415" s="1"/>
      <c r="AB415" s="1"/>
      <c r="AC415" s="1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  <c r="AS415" s="1"/>
      <c r="AT415" s="1"/>
      <c r="AU415" s="1"/>
      <c r="AV415" s="1"/>
      <c r="AW415" s="1"/>
      <c r="AX415" s="1"/>
      <c r="AY415" s="1"/>
      <c r="AZ415" s="1"/>
      <c r="BA415" s="1"/>
      <c r="BB415" s="1"/>
      <c r="BC415" s="1"/>
      <c r="BD415" s="1"/>
      <c r="BE415" s="1"/>
      <c r="BF415" s="1"/>
      <c r="BG415" s="1"/>
    </row>
    <row r="416" spans="1:59" ht="27" x14ac:dyDescent="0.35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  <c r="AA416" s="1"/>
      <c r="AB416" s="1"/>
      <c r="AC416" s="1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  <c r="AS416" s="1"/>
      <c r="AT416" s="1"/>
      <c r="AU416" s="1"/>
      <c r="AV416" s="1"/>
      <c r="AW416" s="1"/>
      <c r="AX416" s="1"/>
      <c r="AY416" s="1"/>
      <c r="AZ416" s="1"/>
      <c r="BA416" s="1"/>
      <c r="BB416" s="1"/>
      <c r="BC416" s="1"/>
      <c r="BD416" s="1"/>
      <c r="BE416" s="1"/>
      <c r="BF416" s="1"/>
      <c r="BG416" s="1"/>
    </row>
    <row r="417" spans="1:59" ht="27" x14ac:dyDescent="0.35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  <c r="AA417" s="1"/>
      <c r="AB417" s="1"/>
      <c r="AC417" s="1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  <c r="AS417" s="1"/>
      <c r="AT417" s="1"/>
      <c r="AU417" s="1"/>
      <c r="AV417" s="1"/>
      <c r="AW417" s="1"/>
      <c r="AX417" s="1"/>
      <c r="AY417" s="1"/>
      <c r="AZ417" s="1"/>
      <c r="BA417" s="1"/>
      <c r="BB417" s="1"/>
      <c r="BC417" s="1"/>
      <c r="BD417" s="1"/>
      <c r="BE417" s="1"/>
      <c r="BF417" s="1"/>
      <c r="BG417" s="1"/>
    </row>
    <row r="418" spans="1:59" ht="27" x14ac:dyDescent="0.35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  <c r="AA418" s="1"/>
      <c r="AB418" s="1"/>
      <c r="AC418" s="1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  <c r="AS418" s="1"/>
      <c r="AT418" s="1"/>
      <c r="AU418" s="1"/>
      <c r="AV418" s="1"/>
      <c r="AW418" s="1"/>
      <c r="AX418" s="1"/>
      <c r="AY418" s="1"/>
      <c r="AZ418" s="1"/>
      <c r="BA418" s="1"/>
      <c r="BB418" s="1"/>
      <c r="BC418" s="1"/>
      <c r="BD418" s="1"/>
      <c r="BE418" s="1"/>
      <c r="BF418" s="1"/>
      <c r="BG418" s="1"/>
    </row>
    <row r="419" spans="1:59" ht="27" x14ac:dyDescent="0.35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  <c r="AA419" s="1"/>
      <c r="AB419" s="1"/>
      <c r="AC419" s="1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  <c r="AS419" s="1"/>
      <c r="AT419" s="1"/>
      <c r="AU419" s="1"/>
      <c r="AV419" s="1"/>
      <c r="AW419" s="1"/>
      <c r="AX419" s="1"/>
      <c r="AY419" s="1"/>
      <c r="AZ419" s="1"/>
      <c r="BA419" s="1"/>
      <c r="BB419" s="1"/>
      <c r="BC419" s="1"/>
      <c r="BD419" s="1"/>
      <c r="BE419" s="1"/>
      <c r="BF419" s="1"/>
      <c r="BG419" s="1"/>
    </row>
    <row r="420" spans="1:59" ht="27" x14ac:dyDescent="0.35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  <c r="AA420" s="1"/>
      <c r="AB420" s="1"/>
      <c r="AC420" s="1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  <c r="AS420" s="1"/>
      <c r="AT420" s="1"/>
      <c r="AU420" s="1"/>
      <c r="AV420" s="1"/>
      <c r="AW420" s="1"/>
      <c r="AX420" s="1"/>
      <c r="AY420" s="1"/>
      <c r="AZ420" s="1"/>
      <c r="BA420" s="1"/>
      <c r="BB420" s="1"/>
      <c r="BC420" s="1"/>
      <c r="BD420" s="1"/>
      <c r="BE420" s="1"/>
      <c r="BF420" s="1"/>
      <c r="BG420" s="1"/>
    </row>
    <row r="421" spans="1:59" ht="27" x14ac:dyDescent="0.35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  <c r="AA421" s="1"/>
      <c r="AB421" s="1"/>
      <c r="AC421" s="1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  <c r="AS421" s="1"/>
      <c r="AT421" s="1"/>
      <c r="AU421" s="1"/>
      <c r="AV421" s="1"/>
      <c r="AW421" s="1"/>
      <c r="AX421" s="1"/>
      <c r="AY421" s="1"/>
      <c r="AZ421" s="1"/>
      <c r="BA421" s="1"/>
      <c r="BB421" s="1"/>
      <c r="BC421" s="1"/>
      <c r="BD421" s="1"/>
      <c r="BE421" s="1"/>
      <c r="BF421" s="1"/>
      <c r="BG421" s="1"/>
    </row>
    <row r="422" spans="1:59" ht="27" x14ac:dyDescent="0.35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  <c r="AA422" s="1"/>
      <c r="AB422" s="1"/>
      <c r="AC422" s="1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  <c r="AS422" s="1"/>
      <c r="AT422" s="1"/>
      <c r="AU422" s="1"/>
      <c r="AV422" s="1"/>
      <c r="AW422" s="1"/>
      <c r="AX422" s="1"/>
      <c r="AY422" s="1"/>
      <c r="AZ422" s="1"/>
      <c r="BA422" s="1"/>
      <c r="BB422" s="1"/>
      <c r="BC422" s="1"/>
      <c r="BD422" s="1"/>
      <c r="BE422" s="1"/>
      <c r="BF422" s="1"/>
      <c r="BG422" s="1"/>
    </row>
    <row r="423" spans="1:59" ht="27" x14ac:dyDescent="0.35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  <c r="AA423" s="1"/>
      <c r="AB423" s="1"/>
      <c r="AC423" s="1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  <c r="AS423" s="1"/>
      <c r="AT423" s="1"/>
      <c r="AU423" s="1"/>
      <c r="AV423" s="1"/>
      <c r="AW423" s="1"/>
      <c r="AX423" s="1"/>
      <c r="AY423" s="1"/>
      <c r="AZ423" s="1"/>
      <c r="BA423" s="1"/>
      <c r="BB423" s="1"/>
      <c r="BC423" s="1"/>
      <c r="BD423" s="1"/>
      <c r="BE423" s="1"/>
      <c r="BF423" s="1"/>
      <c r="BG423" s="1"/>
    </row>
    <row r="424" spans="1:59" ht="27" x14ac:dyDescent="0.35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  <c r="AA424" s="1"/>
      <c r="AB424" s="1"/>
      <c r="AC424" s="1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  <c r="AS424" s="1"/>
      <c r="AT424" s="1"/>
      <c r="AU424" s="1"/>
      <c r="AV424" s="1"/>
      <c r="AW424" s="1"/>
      <c r="AX424" s="1"/>
      <c r="AY424" s="1"/>
      <c r="AZ424" s="1"/>
      <c r="BA424" s="1"/>
      <c r="BB424" s="1"/>
      <c r="BC424" s="1"/>
      <c r="BD424" s="1"/>
      <c r="BE424" s="1"/>
      <c r="BF424" s="1"/>
      <c r="BG424" s="1"/>
    </row>
    <row r="425" spans="1:59" ht="27" x14ac:dyDescent="0.35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  <c r="AA425" s="1"/>
      <c r="AB425" s="1"/>
      <c r="AC425" s="1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  <c r="AS425" s="1"/>
      <c r="AT425" s="1"/>
      <c r="AU425" s="1"/>
      <c r="AV425" s="1"/>
      <c r="AW425" s="1"/>
      <c r="AX425" s="1"/>
      <c r="AY425" s="1"/>
      <c r="AZ425" s="1"/>
      <c r="BA425" s="1"/>
      <c r="BB425" s="1"/>
      <c r="BC425" s="1"/>
      <c r="BD425" s="1"/>
      <c r="BE425" s="1"/>
      <c r="BF425" s="1"/>
      <c r="BG425" s="1"/>
    </row>
    <row r="426" spans="1:59" ht="27" x14ac:dyDescent="0.35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  <c r="AA426" s="1"/>
      <c r="AB426" s="1"/>
      <c r="AC426" s="1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  <c r="AS426" s="1"/>
      <c r="AT426" s="1"/>
      <c r="AU426" s="1"/>
      <c r="AV426" s="1"/>
      <c r="AW426" s="1"/>
      <c r="AX426" s="1"/>
      <c r="AY426" s="1"/>
      <c r="AZ426" s="1"/>
      <c r="BA426" s="1"/>
      <c r="BB426" s="1"/>
      <c r="BC426" s="1"/>
      <c r="BD426" s="1"/>
      <c r="BE426" s="1"/>
      <c r="BF426" s="1"/>
      <c r="BG426" s="1"/>
    </row>
    <row r="427" spans="1:59" ht="27" x14ac:dyDescent="0.35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  <c r="AA427" s="1"/>
      <c r="AB427" s="1"/>
      <c r="AC427" s="1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  <c r="AS427" s="1"/>
      <c r="AT427" s="1"/>
      <c r="AU427" s="1"/>
      <c r="AV427" s="1"/>
      <c r="AW427" s="1"/>
      <c r="AX427" s="1"/>
      <c r="AY427" s="1"/>
      <c r="AZ427" s="1"/>
      <c r="BA427" s="1"/>
      <c r="BB427" s="1"/>
      <c r="BC427" s="1"/>
      <c r="BD427" s="1"/>
      <c r="BE427" s="1"/>
      <c r="BF427" s="1"/>
      <c r="BG427" s="1"/>
    </row>
    <row r="428" spans="1:59" ht="27" x14ac:dyDescent="0.35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  <c r="AA428" s="1"/>
      <c r="AB428" s="1"/>
      <c r="AC428" s="1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  <c r="AS428" s="1"/>
      <c r="AT428" s="1"/>
      <c r="AU428" s="1"/>
      <c r="AV428" s="1"/>
      <c r="AW428" s="1"/>
      <c r="AX428" s="1"/>
      <c r="AY428" s="1"/>
      <c r="AZ428" s="1"/>
      <c r="BA428" s="1"/>
      <c r="BB428" s="1"/>
      <c r="BC428" s="1"/>
      <c r="BD428" s="1"/>
      <c r="BE428" s="1"/>
      <c r="BF428" s="1"/>
      <c r="BG428" s="1"/>
    </row>
    <row r="429" spans="1:59" ht="27" x14ac:dyDescent="0.35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  <c r="AA429" s="1"/>
      <c r="AB429" s="1"/>
      <c r="AC429" s="1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  <c r="AS429" s="1"/>
      <c r="AT429" s="1"/>
      <c r="AU429" s="1"/>
      <c r="AV429" s="1"/>
      <c r="AW429" s="1"/>
      <c r="AX429" s="1"/>
      <c r="AY429" s="1"/>
      <c r="AZ429" s="1"/>
      <c r="BA429" s="1"/>
      <c r="BB429" s="1"/>
      <c r="BC429" s="1"/>
      <c r="BD429" s="1"/>
      <c r="BE429" s="1"/>
      <c r="BF429" s="1"/>
      <c r="BG429" s="1"/>
    </row>
    <row r="430" spans="1:59" ht="27" x14ac:dyDescent="0.35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  <c r="AA430" s="1"/>
      <c r="AB430" s="1"/>
      <c r="AC430" s="1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  <c r="AS430" s="1"/>
      <c r="AT430" s="1"/>
      <c r="AU430" s="1"/>
      <c r="AV430" s="1"/>
      <c r="AW430" s="1"/>
      <c r="AX430" s="1"/>
      <c r="AY430" s="1"/>
      <c r="AZ430" s="1"/>
      <c r="BA430" s="1"/>
      <c r="BB430" s="1"/>
      <c r="BC430" s="1"/>
      <c r="BD430" s="1"/>
      <c r="BE430" s="1"/>
      <c r="BF430" s="1"/>
      <c r="BG430" s="1"/>
    </row>
    <row r="431" spans="1:59" ht="27" x14ac:dyDescent="0.35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  <c r="AA431" s="1"/>
      <c r="AB431" s="1"/>
      <c r="AC431" s="1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  <c r="AS431" s="1"/>
      <c r="AT431" s="1"/>
      <c r="AU431" s="1"/>
      <c r="AV431" s="1"/>
      <c r="AW431" s="1"/>
      <c r="AX431" s="1"/>
      <c r="AY431" s="1"/>
      <c r="AZ431" s="1"/>
      <c r="BA431" s="1"/>
      <c r="BB431" s="1"/>
      <c r="BC431" s="1"/>
      <c r="BD431" s="1"/>
      <c r="BE431" s="1"/>
      <c r="BF431" s="1"/>
      <c r="BG431" s="1"/>
    </row>
    <row r="432" spans="1:59" ht="27" x14ac:dyDescent="0.35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  <c r="AA432" s="1"/>
      <c r="AB432" s="1"/>
      <c r="AC432" s="1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  <c r="AS432" s="1"/>
      <c r="AT432" s="1"/>
      <c r="AU432" s="1"/>
      <c r="AV432" s="1"/>
      <c r="AW432" s="1"/>
      <c r="AX432" s="1"/>
      <c r="AY432" s="1"/>
      <c r="AZ432" s="1"/>
      <c r="BA432" s="1"/>
      <c r="BB432" s="1"/>
      <c r="BC432" s="1"/>
      <c r="BD432" s="1"/>
      <c r="BE432" s="1"/>
      <c r="BF432" s="1"/>
      <c r="BG432" s="1"/>
    </row>
    <row r="433" spans="1:59" ht="27" x14ac:dyDescent="0.35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  <c r="AA433" s="1"/>
      <c r="AB433" s="1"/>
      <c r="AC433" s="1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  <c r="AS433" s="1"/>
      <c r="AT433" s="1"/>
      <c r="AU433" s="1"/>
      <c r="AV433" s="1"/>
      <c r="AW433" s="1"/>
      <c r="AX433" s="1"/>
      <c r="AY433" s="1"/>
      <c r="AZ433" s="1"/>
      <c r="BA433" s="1"/>
      <c r="BB433" s="1"/>
      <c r="BC433" s="1"/>
      <c r="BD433" s="1"/>
      <c r="BE433" s="1"/>
      <c r="BF433" s="1"/>
      <c r="BG433" s="1"/>
    </row>
    <row r="434" spans="1:59" ht="27" x14ac:dyDescent="0.35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  <c r="AA434" s="1"/>
      <c r="AB434" s="1"/>
      <c r="AC434" s="1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  <c r="AS434" s="1"/>
      <c r="AT434" s="1"/>
      <c r="AU434" s="1"/>
      <c r="AV434" s="1"/>
      <c r="AW434" s="1"/>
      <c r="AX434" s="1"/>
      <c r="AY434" s="1"/>
      <c r="AZ434" s="1"/>
      <c r="BA434" s="1"/>
      <c r="BB434" s="1"/>
      <c r="BC434" s="1"/>
      <c r="BD434" s="1"/>
      <c r="BE434" s="1"/>
      <c r="BF434" s="1"/>
      <c r="BG434" s="1"/>
    </row>
    <row r="435" spans="1:59" ht="27" x14ac:dyDescent="0.35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  <c r="AA435" s="1"/>
      <c r="AB435" s="1"/>
      <c r="AC435" s="1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  <c r="AS435" s="1"/>
      <c r="AT435" s="1"/>
      <c r="AU435" s="1"/>
      <c r="AV435" s="1"/>
      <c r="AW435" s="1"/>
      <c r="AX435" s="1"/>
      <c r="AY435" s="1"/>
      <c r="AZ435" s="1"/>
      <c r="BA435" s="1"/>
      <c r="BB435" s="1"/>
      <c r="BC435" s="1"/>
      <c r="BD435" s="1"/>
      <c r="BE435" s="1"/>
      <c r="BF435" s="1"/>
      <c r="BG435" s="1"/>
    </row>
    <row r="436" spans="1:59" ht="27" x14ac:dyDescent="0.35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  <c r="AA436" s="1"/>
      <c r="AB436" s="1"/>
      <c r="AC436" s="1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  <c r="AS436" s="1"/>
      <c r="AT436" s="1"/>
      <c r="AU436" s="1"/>
      <c r="AV436" s="1"/>
      <c r="AW436" s="1"/>
      <c r="AX436" s="1"/>
      <c r="AY436" s="1"/>
      <c r="AZ436" s="1"/>
      <c r="BA436" s="1"/>
      <c r="BB436" s="1"/>
      <c r="BC436" s="1"/>
      <c r="BD436" s="1"/>
      <c r="BE436" s="1"/>
      <c r="BF436" s="1"/>
      <c r="BG436" s="1"/>
    </row>
    <row r="437" spans="1:59" ht="27" x14ac:dyDescent="0.35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  <c r="AA437" s="1"/>
      <c r="AB437" s="1"/>
      <c r="AC437" s="1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  <c r="AS437" s="1"/>
      <c r="AT437" s="1"/>
      <c r="AU437" s="1"/>
      <c r="AV437" s="1"/>
      <c r="AW437" s="1"/>
      <c r="AX437" s="1"/>
      <c r="AY437" s="1"/>
      <c r="AZ437" s="1"/>
      <c r="BA437" s="1"/>
      <c r="BB437" s="1"/>
      <c r="BC437" s="1"/>
      <c r="BD437" s="1"/>
      <c r="BE437" s="1"/>
      <c r="BF437" s="1"/>
      <c r="BG437" s="1"/>
    </row>
    <row r="438" spans="1:59" ht="27" x14ac:dyDescent="0.35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  <c r="AA438" s="1"/>
      <c r="AB438" s="1"/>
      <c r="AC438" s="1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  <c r="AS438" s="1"/>
      <c r="AT438" s="1"/>
      <c r="AU438" s="1"/>
      <c r="AV438" s="1"/>
      <c r="AW438" s="1"/>
      <c r="AX438" s="1"/>
      <c r="AY438" s="1"/>
      <c r="AZ438" s="1"/>
      <c r="BA438" s="1"/>
      <c r="BB438" s="1"/>
      <c r="BC438" s="1"/>
      <c r="BD438" s="1"/>
      <c r="BE438" s="1"/>
      <c r="BF438" s="1"/>
      <c r="BG438" s="1"/>
    </row>
    <row r="439" spans="1:59" ht="27" x14ac:dyDescent="0.35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  <c r="AA439" s="1"/>
      <c r="AB439" s="1"/>
      <c r="AC439" s="1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  <c r="AS439" s="1"/>
      <c r="AT439" s="1"/>
      <c r="AU439" s="1"/>
      <c r="AV439" s="1"/>
      <c r="AW439" s="1"/>
      <c r="AX439" s="1"/>
      <c r="AY439" s="1"/>
      <c r="AZ439" s="1"/>
      <c r="BA439" s="1"/>
      <c r="BB439" s="1"/>
      <c r="BC439" s="1"/>
      <c r="BD439" s="1"/>
      <c r="BE439" s="1"/>
      <c r="BF439" s="1"/>
      <c r="BG439" s="1"/>
    </row>
    <row r="440" spans="1:59" ht="27" x14ac:dyDescent="0.35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  <c r="AA440" s="1"/>
      <c r="AB440" s="1"/>
      <c r="AC440" s="1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  <c r="AS440" s="1"/>
      <c r="AT440" s="1"/>
      <c r="AU440" s="1"/>
      <c r="AV440" s="1"/>
      <c r="AW440" s="1"/>
      <c r="AX440" s="1"/>
      <c r="AY440" s="1"/>
      <c r="AZ440" s="1"/>
      <c r="BA440" s="1"/>
      <c r="BB440" s="1"/>
      <c r="BC440" s="1"/>
      <c r="BD440" s="1"/>
      <c r="BE440" s="1"/>
      <c r="BF440" s="1"/>
      <c r="BG440" s="1"/>
    </row>
    <row r="441" spans="1:59" ht="27" x14ac:dyDescent="0.35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  <c r="AA441" s="1"/>
      <c r="AB441" s="1"/>
      <c r="AC441" s="1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  <c r="AS441" s="1"/>
      <c r="AT441" s="1"/>
      <c r="AU441" s="1"/>
      <c r="AV441" s="1"/>
      <c r="AW441" s="1"/>
      <c r="AX441" s="1"/>
      <c r="AY441" s="1"/>
      <c r="AZ441" s="1"/>
      <c r="BA441" s="1"/>
      <c r="BB441" s="1"/>
      <c r="BC441" s="1"/>
      <c r="BD441" s="1"/>
      <c r="BE441" s="1"/>
      <c r="BF441" s="1"/>
      <c r="BG441" s="1"/>
    </row>
    <row r="442" spans="1:59" ht="27" x14ac:dyDescent="0.35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  <c r="AA442" s="1"/>
      <c r="AB442" s="1"/>
      <c r="AC442" s="1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  <c r="AS442" s="1"/>
      <c r="AT442" s="1"/>
      <c r="AU442" s="1"/>
      <c r="AV442" s="1"/>
      <c r="AW442" s="1"/>
      <c r="AX442" s="1"/>
      <c r="AY442" s="1"/>
      <c r="AZ442" s="1"/>
      <c r="BA442" s="1"/>
      <c r="BB442" s="1"/>
      <c r="BC442" s="1"/>
      <c r="BD442" s="1"/>
      <c r="BE442" s="1"/>
      <c r="BF442" s="1"/>
      <c r="BG442" s="1"/>
    </row>
    <row r="443" spans="1:59" ht="27" x14ac:dyDescent="0.35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  <c r="AA443" s="1"/>
      <c r="AB443" s="1"/>
      <c r="AC443" s="1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  <c r="AS443" s="1"/>
      <c r="AT443" s="1"/>
      <c r="AU443" s="1"/>
      <c r="AV443" s="1"/>
      <c r="AW443" s="1"/>
      <c r="AX443" s="1"/>
      <c r="AY443" s="1"/>
      <c r="AZ443" s="1"/>
      <c r="BA443" s="1"/>
      <c r="BB443" s="1"/>
      <c r="BC443" s="1"/>
      <c r="BD443" s="1"/>
      <c r="BE443" s="1"/>
      <c r="BF443" s="1"/>
      <c r="BG443" s="1"/>
    </row>
    <row r="444" spans="1:59" ht="27" x14ac:dyDescent="0.35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  <c r="AA444" s="1"/>
      <c r="AB444" s="1"/>
      <c r="AC444" s="1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  <c r="AS444" s="1"/>
      <c r="AT444" s="1"/>
      <c r="AU444" s="1"/>
      <c r="AV444" s="1"/>
      <c r="AW444" s="1"/>
      <c r="AX444" s="1"/>
      <c r="AY444" s="1"/>
      <c r="AZ444" s="1"/>
      <c r="BA444" s="1"/>
      <c r="BB444" s="1"/>
      <c r="BC444" s="1"/>
      <c r="BD444" s="1"/>
      <c r="BE444" s="1"/>
      <c r="BF444" s="1"/>
      <c r="BG444" s="1"/>
    </row>
    <row r="445" spans="1:59" ht="27" x14ac:dyDescent="0.35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  <c r="AA445" s="1"/>
      <c r="AB445" s="1"/>
      <c r="AC445" s="1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  <c r="AS445" s="1"/>
      <c r="AT445" s="1"/>
      <c r="AU445" s="1"/>
      <c r="AV445" s="1"/>
      <c r="AW445" s="1"/>
      <c r="AX445" s="1"/>
      <c r="AY445" s="1"/>
      <c r="AZ445" s="1"/>
      <c r="BA445" s="1"/>
      <c r="BB445" s="1"/>
      <c r="BC445" s="1"/>
      <c r="BD445" s="1"/>
      <c r="BE445" s="1"/>
      <c r="BF445" s="1"/>
      <c r="BG445" s="1"/>
    </row>
    <row r="446" spans="1:59" ht="27" x14ac:dyDescent="0.35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  <c r="AA446" s="1"/>
      <c r="AB446" s="1"/>
      <c r="AC446" s="1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  <c r="AS446" s="1"/>
      <c r="AT446" s="1"/>
      <c r="AU446" s="1"/>
      <c r="AV446" s="1"/>
      <c r="AW446" s="1"/>
      <c r="AX446" s="1"/>
      <c r="AY446" s="1"/>
      <c r="AZ446" s="1"/>
      <c r="BA446" s="1"/>
      <c r="BB446" s="1"/>
      <c r="BC446" s="1"/>
      <c r="BD446" s="1"/>
      <c r="BE446" s="1"/>
      <c r="BF446" s="1"/>
      <c r="BG446" s="1"/>
    </row>
    <row r="447" spans="1:59" ht="27" x14ac:dyDescent="0.35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  <c r="AA447" s="1"/>
      <c r="AB447" s="1"/>
      <c r="AC447" s="1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  <c r="AS447" s="1"/>
      <c r="AT447" s="1"/>
      <c r="AU447" s="1"/>
      <c r="AV447" s="1"/>
      <c r="AW447" s="1"/>
      <c r="AX447" s="1"/>
      <c r="AY447" s="1"/>
      <c r="AZ447" s="1"/>
      <c r="BA447" s="1"/>
      <c r="BB447" s="1"/>
      <c r="BC447" s="1"/>
      <c r="BD447" s="1"/>
      <c r="BE447" s="1"/>
      <c r="BF447" s="1"/>
      <c r="BG447" s="1"/>
    </row>
    <row r="448" spans="1:59" ht="27" x14ac:dyDescent="0.35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  <c r="AA448" s="1"/>
      <c r="AB448" s="1"/>
      <c r="AC448" s="1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  <c r="AS448" s="1"/>
      <c r="AT448" s="1"/>
      <c r="AU448" s="1"/>
      <c r="AV448" s="1"/>
      <c r="AW448" s="1"/>
      <c r="AX448" s="1"/>
      <c r="AY448" s="1"/>
      <c r="AZ448" s="1"/>
      <c r="BA448" s="1"/>
      <c r="BB448" s="1"/>
      <c r="BC448" s="1"/>
      <c r="BD448" s="1"/>
      <c r="BE448" s="1"/>
      <c r="BF448" s="1"/>
      <c r="BG448" s="1"/>
    </row>
    <row r="449" spans="1:59" ht="27" x14ac:dyDescent="0.35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  <c r="AA449" s="1"/>
      <c r="AB449" s="1"/>
      <c r="AC449" s="1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  <c r="AS449" s="1"/>
      <c r="AT449" s="1"/>
      <c r="AU449" s="1"/>
      <c r="AV449" s="1"/>
      <c r="AW449" s="1"/>
      <c r="AX449" s="1"/>
      <c r="AY449" s="1"/>
      <c r="AZ449" s="1"/>
      <c r="BA449" s="1"/>
      <c r="BB449" s="1"/>
      <c r="BC449" s="1"/>
      <c r="BD449" s="1"/>
      <c r="BE449" s="1"/>
      <c r="BF449" s="1"/>
      <c r="BG449" s="1"/>
    </row>
    <row r="450" spans="1:59" ht="27" x14ac:dyDescent="0.35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  <c r="AA450" s="1"/>
      <c r="AB450" s="1"/>
      <c r="AC450" s="1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  <c r="AS450" s="1"/>
      <c r="AT450" s="1"/>
      <c r="AU450" s="1"/>
      <c r="AV450" s="1"/>
      <c r="AW450" s="1"/>
      <c r="AX450" s="1"/>
      <c r="AY450" s="1"/>
      <c r="AZ450" s="1"/>
      <c r="BA450" s="1"/>
      <c r="BB450" s="1"/>
      <c r="BC450" s="1"/>
      <c r="BD450" s="1"/>
      <c r="BE450" s="1"/>
      <c r="BF450" s="1"/>
      <c r="BG450" s="1"/>
    </row>
    <row r="451" spans="1:59" ht="27" x14ac:dyDescent="0.35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  <c r="AA451" s="1"/>
      <c r="AB451" s="1"/>
      <c r="AC451" s="1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  <c r="AS451" s="1"/>
      <c r="AT451" s="1"/>
      <c r="AU451" s="1"/>
      <c r="AV451" s="1"/>
      <c r="AW451" s="1"/>
      <c r="AX451" s="1"/>
      <c r="AY451" s="1"/>
      <c r="AZ451" s="1"/>
      <c r="BA451" s="1"/>
      <c r="BB451" s="1"/>
      <c r="BC451" s="1"/>
      <c r="BD451" s="1"/>
      <c r="BE451" s="1"/>
      <c r="BF451" s="1"/>
      <c r="BG451" s="1"/>
    </row>
    <row r="452" spans="1:59" ht="27" x14ac:dyDescent="0.35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  <c r="AA452" s="1"/>
      <c r="AB452" s="1"/>
      <c r="AC452" s="1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  <c r="AS452" s="1"/>
      <c r="AT452" s="1"/>
      <c r="AU452" s="1"/>
      <c r="AV452" s="1"/>
      <c r="AW452" s="1"/>
      <c r="AX452" s="1"/>
      <c r="AY452" s="1"/>
      <c r="AZ452" s="1"/>
      <c r="BA452" s="1"/>
      <c r="BB452" s="1"/>
      <c r="BC452" s="1"/>
      <c r="BD452" s="1"/>
      <c r="BE452" s="1"/>
      <c r="BF452" s="1"/>
      <c r="BG452" s="1"/>
    </row>
    <row r="453" spans="1:59" ht="27" x14ac:dyDescent="0.35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  <c r="AA453" s="1"/>
      <c r="AB453" s="1"/>
      <c r="AC453" s="1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  <c r="AS453" s="1"/>
      <c r="AT453" s="1"/>
      <c r="AU453" s="1"/>
      <c r="AV453" s="1"/>
      <c r="AW453" s="1"/>
      <c r="AX453" s="1"/>
      <c r="AY453" s="1"/>
      <c r="AZ453" s="1"/>
      <c r="BA453" s="1"/>
      <c r="BB453" s="1"/>
      <c r="BC453" s="1"/>
      <c r="BD453" s="1"/>
      <c r="BE453" s="1"/>
      <c r="BF453" s="1"/>
      <c r="BG453" s="1"/>
    </row>
    <row r="454" spans="1:59" ht="27" x14ac:dyDescent="0.35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  <c r="AA454" s="1"/>
      <c r="AB454" s="1"/>
      <c r="AC454" s="1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  <c r="AS454" s="1"/>
      <c r="AT454" s="1"/>
      <c r="AU454" s="1"/>
      <c r="AV454" s="1"/>
      <c r="AW454" s="1"/>
      <c r="AX454" s="1"/>
      <c r="AY454" s="1"/>
      <c r="AZ454" s="1"/>
      <c r="BA454" s="1"/>
      <c r="BB454" s="1"/>
      <c r="BC454" s="1"/>
      <c r="BD454" s="1"/>
      <c r="BE454" s="1"/>
      <c r="BF454" s="1"/>
      <c r="BG454" s="1"/>
    </row>
    <row r="455" spans="1:59" ht="27" x14ac:dyDescent="0.35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  <c r="AA455" s="1"/>
      <c r="AB455" s="1"/>
      <c r="AC455" s="1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  <c r="AS455" s="1"/>
      <c r="AT455" s="1"/>
      <c r="AU455" s="1"/>
      <c r="AV455" s="1"/>
      <c r="AW455" s="1"/>
      <c r="AX455" s="1"/>
      <c r="AY455" s="1"/>
      <c r="AZ455" s="1"/>
      <c r="BA455" s="1"/>
      <c r="BB455" s="1"/>
      <c r="BC455" s="1"/>
      <c r="BD455" s="1"/>
      <c r="BE455" s="1"/>
      <c r="BF455" s="1"/>
      <c r="BG455" s="1"/>
    </row>
    <row r="456" spans="1:59" ht="27" x14ac:dyDescent="0.35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  <c r="AA456" s="1"/>
      <c r="AB456" s="1"/>
      <c r="AC456" s="1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  <c r="AS456" s="1"/>
      <c r="AT456" s="1"/>
      <c r="AU456" s="1"/>
      <c r="AV456" s="1"/>
      <c r="AW456" s="1"/>
      <c r="AX456" s="1"/>
      <c r="AY456" s="1"/>
      <c r="AZ456" s="1"/>
      <c r="BA456" s="1"/>
      <c r="BB456" s="1"/>
      <c r="BC456" s="1"/>
      <c r="BD456" s="1"/>
      <c r="BE456" s="1"/>
      <c r="BF456" s="1"/>
      <c r="BG456" s="1"/>
    </row>
    <row r="457" spans="1:59" ht="27" x14ac:dyDescent="0.35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  <c r="AA457" s="1"/>
      <c r="AB457" s="1"/>
      <c r="AC457" s="1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  <c r="AS457" s="1"/>
      <c r="AT457" s="1"/>
      <c r="AU457" s="1"/>
      <c r="AV457" s="1"/>
      <c r="AW457" s="1"/>
      <c r="AX457" s="1"/>
      <c r="AY457" s="1"/>
      <c r="AZ457" s="1"/>
      <c r="BA457" s="1"/>
      <c r="BB457" s="1"/>
      <c r="BC457" s="1"/>
      <c r="BD457" s="1"/>
      <c r="BE457" s="1"/>
      <c r="BF457" s="1"/>
      <c r="BG457" s="1"/>
    </row>
    <row r="458" spans="1:59" ht="27" x14ac:dyDescent="0.35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  <c r="AA458" s="1"/>
      <c r="AB458" s="1"/>
      <c r="AC458" s="1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  <c r="AS458" s="1"/>
      <c r="AT458" s="1"/>
      <c r="AU458" s="1"/>
      <c r="AV458" s="1"/>
      <c r="AW458" s="1"/>
      <c r="AX458" s="1"/>
      <c r="AY458" s="1"/>
      <c r="AZ458" s="1"/>
      <c r="BA458" s="1"/>
      <c r="BB458" s="1"/>
      <c r="BC458" s="1"/>
      <c r="BD458" s="1"/>
      <c r="BE458" s="1"/>
      <c r="BF458" s="1"/>
      <c r="BG458" s="1"/>
    </row>
    <row r="459" spans="1:59" ht="27" x14ac:dyDescent="0.35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  <c r="AA459" s="1"/>
      <c r="AB459" s="1"/>
      <c r="AC459" s="1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  <c r="AS459" s="1"/>
      <c r="AT459" s="1"/>
      <c r="AU459" s="1"/>
      <c r="AV459" s="1"/>
      <c r="AW459" s="1"/>
      <c r="AX459" s="1"/>
      <c r="AY459" s="1"/>
      <c r="AZ459" s="1"/>
      <c r="BA459" s="1"/>
      <c r="BB459" s="1"/>
      <c r="BC459" s="1"/>
      <c r="BD459" s="1"/>
      <c r="BE459" s="1"/>
      <c r="BF459" s="1"/>
      <c r="BG459" s="1"/>
    </row>
    <row r="460" spans="1:59" ht="27" x14ac:dyDescent="0.35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  <c r="AA460" s="1"/>
      <c r="AB460" s="1"/>
      <c r="AC460" s="1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  <c r="AS460" s="1"/>
      <c r="AT460" s="1"/>
      <c r="AU460" s="1"/>
      <c r="AV460" s="1"/>
      <c r="AW460" s="1"/>
      <c r="AX460" s="1"/>
      <c r="AY460" s="1"/>
      <c r="AZ460" s="1"/>
      <c r="BA460" s="1"/>
      <c r="BB460" s="1"/>
      <c r="BC460" s="1"/>
      <c r="BD460" s="1"/>
      <c r="BE460" s="1"/>
      <c r="BF460" s="1"/>
      <c r="BG460" s="1"/>
    </row>
    <row r="461" spans="1:59" ht="27" x14ac:dyDescent="0.35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  <c r="AA461" s="1"/>
      <c r="AB461" s="1"/>
      <c r="AC461" s="1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  <c r="AS461" s="1"/>
      <c r="AT461" s="1"/>
      <c r="AU461" s="1"/>
      <c r="AV461" s="1"/>
      <c r="AW461" s="1"/>
      <c r="AX461" s="1"/>
      <c r="AY461" s="1"/>
      <c r="AZ461" s="1"/>
      <c r="BA461" s="1"/>
      <c r="BB461" s="1"/>
      <c r="BC461" s="1"/>
      <c r="BD461" s="1"/>
      <c r="BE461" s="1"/>
      <c r="BF461" s="1"/>
      <c r="BG461" s="1"/>
    </row>
    <row r="462" spans="1:59" ht="27" x14ac:dyDescent="0.35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  <c r="AA462" s="1"/>
      <c r="AB462" s="1"/>
      <c r="AC462" s="1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  <c r="AS462" s="1"/>
      <c r="AT462" s="1"/>
      <c r="AU462" s="1"/>
      <c r="AV462" s="1"/>
      <c r="AW462" s="1"/>
      <c r="AX462" s="1"/>
      <c r="AY462" s="1"/>
      <c r="AZ462" s="1"/>
      <c r="BA462" s="1"/>
      <c r="BB462" s="1"/>
      <c r="BC462" s="1"/>
      <c r="BD462" s="1"/>
      <c r="BE462" s="1"/>
      <c r="BF462" s="1"/>
      <c r="BG462" s="1"/>
    </row>
    <row r="463" spans="1:59" ht="27" x14ac:dyDescent="0.35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  <c r="AA463" s="1"/>
      <c r="AB463" s="1"/>
      <c r="AC463" s="1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  <c r="AS463" s="1"/>
      <c r="AT463" s="1"/>
      <c r="AU463" s="1"/>
      <c r="AV463" s="1"/>
      <c r="AW463" s="1"/>
      <c r="AX463" s="1"/>
      <c r="AY463" s="1"/>
      <c r="AZ463" s="1"/>
      <c r="BA463" s="1"/>
      <c r="BB463" s="1"/>
      <c r="BC463" s="1"/>
      <c r="BD463" s="1"/>
      <c r="BE463" s="1"/>
      <c r="BF463" s="1"/>
      <c r="BG463" s="1"/>
    </row>
    <row r="464" spans="1:59" ht="27" x14ac:dyDescent="0.35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  <c r="AA464" s="1"/>
      <c r="AB464" s="1"/>
      <c r="AC464" s="1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  <c r="AS464" s="1"/>
      <c r="AT464" s="1"/>
      <c r="AU464" s="1"/>
      <c r="AV464" s="1"/>
      <c r="AW464" s="1"/>
      <c r="AX464" s="1"/>
      <c r="AY464" s="1"/>
      <c r="AZ464" s="1"/>
      <c r="BA464" s="1"/>
      <c r="BB464" s="1"/>
      <c r="BC464" s="1"/>
      <c r="BD464" s="1"/>
      <c r="BE464" s="1"/>
      <c r="BF464" s="1"/>
      <c r="BG464" s="1"/>
    </row>
    <row r="465" spans="1:59" ht="27" x14ac:dyDescent="0.35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  <c r="AA465" s="1"/>
      <c r="AB465" s="1"/>
      <c r="AC465" s="1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  <c r="AS465" s="1"/>
      <c r="AT465" s="1"/>
      <c r="AU465" s="1"/>
      <c r="AV465" s="1"/>
      <c r="AW465" s="1"/>
      <c r="AX465" s="1"/>
      <c r="AY465" s="1"/>
      <c r="AZ465" s="1"/>
      <c r="BA465" s="1"/>
      <c r="BB465" s="1"/>
      <c r="BC465" s="1"/>
      <c r="BD465" s="1"/>
      <c r="BE465" s="1"/>
      <c r="BF465" s="1"/>
      <c r="BG465" s="1"/>
    </row>
    <row r="466" spans="1:59" ht="27" x14ac:dyDescent="0.35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  <c r="AA466" s="1"/>
      <c r="AB466" s="1"/>
      <c r="AC466" s="1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  <c r="AS466" s="1"/>
      <c r="AT466" s="1"/>
      <c r="AU466" s="1"/>
      <c r="AV466" s="1"/>
      <c r="AW466" s="1"/>
      <c r="AX466" s="1"/>
      <c r="AY466" s="1"/>
      <c r="AZ466" s="1"/>
      <c r="BA466" s="1"/>
      <c r="BB466" s="1"/>
      <c r="BC466" s="1"/>
      <c r="BD466" s="1"/>
      <c r="BE466" s="1"/>
      <c r="BF466" s="1"/>
      <c r="BG466" s="1"/>
    </row>
    <row r="467" spans="1:59" ht="27" x14ac:dyDescent="0.35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  <c r="AA467" s="1"/>
      <c r="AB467" s="1"/>
      <c r="AC467" s="1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  <c r="AS467" s="1"/>
      <c r="AT467" s="1"/>
      <c r="AU467" s="1"/>
      <c r="AV467" s="1"/>
      <c r="AW467" s="1"/>
      <c r="AX467" s="1"/>
      <c r="AY467" s="1"/>
      <c r="AZ467" s="1"/>
      <c r="BA467" s="1"/>
      <c r="BB467" s="1"/>
      <c r="BC467" s="1"/>
      <c r="BD467" s="1"/>
      <c r="BE467" s="1"/>
      <c r="BF467" s="1"/>
      <c r="BG467" s="1"/>
    </row>
    <row r="468" spans="1:59" ht="27" x14ac:dyDescent="0.35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  <c r="AA468" s="1"/>
      <c r="AB468" s="1"/>
      <c r="AC468" s="1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  <c r="AS468" s="1"/>
      <c r="AT468" s="1"/>
      <c r="AU468" s="1"/>
      <c r="AV468" s="1"/>
      <c r="AW468" s="1"/>
      <c r="AX468" s="1"/>
      <c r="AY468" s="1"/>
      <c r="AZ468" s="1"/>
      <c r="BA468" s="1"/>
      <c r="BB468" s="1"/>
      <c r="BC468" s="1"/>
      <c r="BD468" s="1"/>
      <c r="BE468" s="1"/>
      <c r="BF468" s="1"/>
      <c r="BG468" s="1"/>
    </row>
    <row r="469" spans="1:59" ht="27" x14ac:dyDescent="0.35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  <c r="AA469" s="1"/>
      <c r="AB469" s="1"/>
      <c r="AC469" s="1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  <c r="AS469" s="1"/>
      <c r="AT469" s="1"/>
      <c r="AU469" s="1"/>
      <c r="AV469" s="1"/>
      <c r="AW469" s="1"/>
      <c r="AX469" s="1"/>
      <c r="AY469" s="1"/>
      <c r="AZ469" s="1"/>
      <c r="BA469" s="1"/>
      <c r="BB469" s="1"/>
      <c r="BC469" s="1"/>
      <c r="BD469" s="1"/>
      <c r="BE469" s="1"/>
      <c r="BF469" s="1"/>
      <c r="BG469" s="1"/>
    </row>
    <row r="470" spans="1:59" ht="27" x14ac:dyDescent="0.35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  <c r="AA470" s="1"/>
      <c r="AB470" s="1"/>
      <c r="AC470" s="1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  <c r="AS470" s="1"/>
      <c r="AT470" s="1"/>
      <c r="AU470" s="1"/>
      <c r="AV470" s="1"/>
      <c r="AW470" s="1"/>
      <c r="AX470" s="1"/>
      <c r="AY470" s="1"/>
      <c r="AZ470" s="1"/>
      <c r="BA470" s="1"/>
      <c r="BB470" s="1"/>
      <c r="BC470" s="1"/>
      <c r="BD470" s="1"/>
      <c r="BE470" s="1"/>
      <c r="BF470" s="1"/>
      <c r="BG470" s="1"/>
    </row>
    <row r="471" spans="1:59" ht="27" x14ac:dyDescent="0.35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  <c r="AA471" s="1"/>
      <c r="AB471" s="1"/>
      <c r="AC471" s="1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  <c r="AS471" s="1"/>
      <c r="AT471" s="1"/>
      <c r="AU471" s="1"/>
      <c r="AV471" s="1"/>
      <c r="AW471" s="1"/>
      <c r="AX471" s="1"/>
      <c r="AY471" s="1"/>
      <c r="AZ471" s="1"/>
      <c r="BA471" s="1"/>
      <c r="BB471" s="1"/>
      <c r="BC471" s="1"/>
      <c r="BD471" s="1"/>
      <c r="BE471" s="1"/>
      <c r="BF471" s="1"/>
      <c r="BG471" s="1"/>
    </row>
    <row r="472" spans="1:59" ht="27" x14ac:dyDescent="0.35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  <c r="AA472" s="1"/>
      <c r="AB472" s="1"/>
      <c r="AC472" s="1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  <c r="AS472" s="1"/>
      <c r="AT472" s="1"/>
      <c r="AU472" s="1"/>
      <c r="AV472" s="1"/>
      <c r="AW472" s="1"/>
      <c r="AX472" s="1"/>
      <c r="AY472" s="1"/>
      <c r="AZ472" s="1"/>
      <c r="BA472" s="1"/>
      <c r="BB472" s="1"/>
      <c r="BC472" s="1"/>
      <c r="BD472" s="1"/>
      <c r="BE472" s="1"/>
      <c r="BF472" s="1"/>
      <c r="BG472" s="1"/>
    </row>
    <row r="473" spans="1:59" ht="27" x14ac:dyDescent="0.35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  <c r="AA473" s="1"/>
      <c r="AB473" s="1"/>
      <c r="AC473" s="1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  <c r="AS473" s="1"/>
      <c r="AT473" s="1"/>
      <c r="AU473" s="1"/>
      <c r="AV473" s="1"/>
      <c r="AW473" s="1"/>
      <c r="AX473" s="1"/>
      <c r="AY473" s="1"/>
      <c r="AZ473" s="1"/>
      <c r="BA473" s="1"/>
      <c r="BB473" s="1"/>
      <c r="BC473" s="1"/>
      <c r="BD473" s="1"/>
      <c r="BE473" s="1"/>
      <c r="BF473" s="1"/>
      <c r="BG473" s="1"/>
    </row>
    <row r="474" spans="1:59" ht="27" x14ac:dyDescent="0.35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  <c r="AA474" s="1"/>
      <c r="AB474" s="1"/>
      <c r="AC474" s="1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  <c r="AS474" s="1"/>
      <c r="AT474" s="1"/>
      <c r="AU474" s="1"/>
      <c r="AV474" s="1"/>
      <c r="AW474" s="1"/>
      <c r="AX474" s="1"/>
      <c r="AY474" s="1"/>
      <c r="AZ474" s="1"/>
      <c r="BA474" s="1"/>
      <c r="BB474" s="1"/>
      <c r="BC474" s="1"/>
      <c r="BD474" s="1"/>
      <c r="BE474" s="1"/>
      <c r="BF474" s="1"/>
      <c r="BG474" s="1"/>
    </row>
    <row r="475" spans="1:59" ht="27" x14ac:dyDescent="0.35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  <c r="AA475" s="1"/>
      <c r="AB475" s="1"/>
      <c r="AC475" s="1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  <c r="AS475" s="1"/>
      <c r="AT475" s="1"/>
      <c r="AU475" s="1"/>
      <c r="AV475" s="1"/>
      <c r="AW475" s="1"/>
      <c r="AX475" s="1"/>
      <c r="AY475" s="1"/>
      <c r="AZ475" s="1"/>
      <c r="BA475" s="1"/>
      <c r="BB475" s="1"/>
      <c r="BC475" s="1"/>
      <c r="BD475" s="1"/>
      <c r="BE475" s="1"/>
      <c r="BF475" s="1"/>
      <c r="BG475" s="1"/>
    </row>
    <row r="476" spans="1:59" ht="27" x14ac:dyDescent="0.35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  <c r="AA476" s="1"/>
      <c r="AB476" s="1"/>
      <c r="AC476" s="1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  <c r="AS476" s="1"/>
      <c r="AT476" s="1"/>
      <c r="AU476" s="1"/>
      <c r="AV476" s="1"/>
      <c r="AW476" s="1"/>
      <c r="AX476" s="1"/>
      <c r="AY476" s="1"/>
      <c r="AZ476" s="1"/>
      <c r="BA476" s="1"/>
      <c r="BB476" s="1"/>
      <c r="BC476" s="1"/>
      <c r="BD476" s="1"/>
      <c r="BE476" s="1"/>
      <c r="BF476" s="1"/>
      <c r="BG476" s="1"/>
    </row>
    <row r="477" spans="1:59" ht="27" x14ac:dyDescent="0.35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  <c r="AA477" s="1"/>
      <c r="AB477" s="1"/>
      <c r="AC477" s="1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  <c r="AS477" s="1"/>
      <c r="AT477" s="1"/>
      <c r="AU477" s="1"/>
      <c r="AV477" s="1"/>
      <c r="AW477" s="1"/>
      <c r="AX477" s="1"/>
      <c r="AY477" s="1"/>
      <c r="AZ477" s="1"/>
      <c r="BA477" s="1"/>
      <c r="BB477" s="1"/>
      <c r="BC477" s="1"/>
      <c r="BD477" s="1"/>
      <c r="BE477" s="1"/>
      <c r="BF477" s="1"/>
      <c r="BG477" s="1"/>
    </row>
    <row r="478" spans="1:59" ht="27" x14ac:dyDescent="0.35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  <c r="AA478" s="1"/>
      <c r="AB478" s="1"/>
      <c r="AC478" s="1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  <c r="AS478" s="1"/>
      <c r="AT478" s="1"/>
      <c r="AU478" s="1"/>
      <c r="AV478" s="1"/>
      <c r="AW478" s="1"/>
      <c r="AX478" s="1"/>
      <c r="AY478" s="1"/>
      <c r="AZ478" s="1"/>
      <c r="BA478" s="1"/>
      <c r="BB478" s="1"/>
      <c r="BC478" s="1"/>
      <c r="BD478" s="1"/>
      <c r="BE478" s="1"/>
      <c r="BF478" s="1"/>
      <c r="BG478" s="1"/>
    </row>
    <row r="479" spans="1:59" ht="27" x14ac:dyDescent="0.35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  <c r="AA479" s="1"/>
      <c r="AB479" s="1"/>
      <c r="AC479" s="1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  <c r="AS479" s="1"/>
      <c r="AT479" s="1"/>
      <c r="AU479" s="1"/>
      <c r="AV479" s="1"/>
      <c r="AW479" s="1"/>
      <c r="AX479" s="1"/>
      <c r="AY479" s="1"/>
      <c r="AZ479" s="1"/>
      <c r="BA479" s="1"/>
      <c r="BB479" s="1"/>
      <c r="BC479" s="1"/>
      <c r="BD479" s="1"/>
      <c r="BE479" s="1"/>
      <c r="BF479" s="1"/>
      <c r="BG479" s="1"/>
    </row>
    <row r="480" spans="1:59" ht="27" x14ac:dyDescent="0.35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  <c r="AA480" s="1"/>
      <c r="AB480" s="1"/>
      <c r="AC480" s="1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  <c r="AS480" s="1"/>
      <c r="AT480" s="1"/>
      <c r="AU480" s="1"/>
      <c r="AV480" s="1"/>
      <c r="AW480" s="1"/>
      <c r="AX480" s="1"/>
      <c r="AY480" s="1"/>
      <c r="AZ480" s="1"/>
      <c r="BA480" s="1"/>
      <c r="BB480" s="1"/>
      <c r="BC480" s="1"/>
      <c r="BD480" s="1"/>
      <c r="BE480" s="1"/>
      <c r="BF480" s="1"/>
      <c r="BG480" s="1"/>
    </row>
    <row r="481" spans="1:59" ht="27" x14ac:dyDescent="0.35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  <c r="AA481" s="1"/>
      <c r="AB481" s="1"/>
      <c r="AC481" s="1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  <c r="AS481" s="1"/>
      <c r="AT481" s="1"/>
      <c r="AU481" s="1"/>
      <c r="AV481" s="1"/>
      <c r="AW481" s="1"/>
      <c r="AX481" s="1"/>
      <c r="AY481" s="1"/>
      <c r="AZ481" s="1"/>
      <c r="BA481" s="1"/>
      <c r="BB481" s="1"/>
      <c r="BC481" s="1"/>
      <c r="BD481" s="1"/>
      <c r="BE481" s="1"/>
      <c r="BF481" s="1"/>
      <c r="BG481" s="1"/>
    </row>
    <row r="482" spans="1:59" ht="27" x14ac:dyDescent="0.35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  <c r="AA482" s="1"/>
      <c r="AB482" s="1"/>
      <c r="AC482" s="1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  <c r="AS482" s="1"/>
      <c r="AT482" s="1"/>
      <c r="AU482" s="1"/>
      <c r="AV482" s="1"/>
      <c r="AW482" s="1"/>
      <c r="AX482" s="1"/>
      <c r="AY482" s="1"/>
      <c r="AZ482" s="1"/>
      <c r="BA482" s="1"/>
      <c r="BB482" s="1"/>
      <c r="BC482" s="1"/>
      <c r="BD482" s="1"/>
      <c r="BE482" s="1"/>
      <c r="BF482" s="1"/>
      <c r="BG482" s="1"/>
    </row>
    <row r="483" spans="1:59" ht="27" x14ac:dyDescent="0.35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  <c r="AA483" s="1"/>
      <c r="AB483" s="1"/>
      <c r="AC483" s="1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  <c r="AS483" s="1"/>
      <c r="AT483" s="1"/>
      <c r="AU483" s="1"/>
      <c r="AV483" s="1"/>
      <c r="AW483" s="1"/>
      <c r="AX483" s="1"/>
      <c r="AY483" s="1"/>
      <c r="AZ483" s="1"/>
      <c r="BA483" s="1"/>
      <c r="BB483" s="1"/>
      <c r="BC483" s="1"/>
      <c r="BD483" s="1"/>
      <c r="BE483" s="1"/>
      <c r="BF483" s="1"/>
      <c r="BG483" s="1"/>
    </row>
    <row r="484" spans="1:59" ht="27" x14ac:dyDescent="0.35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  <c r="AA484" s="1"/>
      <c r="AB484" s="1"/>
      <c r="AC484" s="1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  <c r="AS484" s="1"/>
      <c r="AT484" s="1"/>
      <c r="AU484" s="1"/>
      <c r="AV484" s="1"/>
      <c r="AW484" s="1"/>
      <c r="AX484" s="1"/>
      <c r="AY484" s="1"/>
      <c r="AZ484" s="1"/>
      <c r="BA484" s="1"/>
      <c r="BB484" s="1"/>
      <c r="BC484" s="1"/>
      <c r="BD484" s="1"/>
      <c r="BE484" s="1"/>
      <c r="BF484" s="1"/>
      <c r="BG484" s="1"/>
    </row>
    <row r="485" spans="1:59" ht="27" x14ac:dyDescent="0.35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  <c r="AA485" s="1"/>
      <c r="AB485" s="1"/>
      <c r="AC485" s="1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  <c r="AS485" s="1"/>
      <c r="AT485" s="1"/>
      <c r="AU485" s="1"/>
      <c r="AV485" s="1"/>
      <c r="AW485" s="1"/>
      <c r="AX485" s="1"/>
      <c r="AY485" s="1"/>
      <c r="AZ485" s="1"/>
      <c r="BA485" s="1"/>
      <c r="BB485" s="1"/>
      <c r="BC485" s="1"/>
      <c r="BD485" s="1"/>
      <c r="BE485" s="1"/>
      <c r="BF485" s="1"/>
      <c r="BG485" s="1"/>
    </row>
    <row r="486" spans="1:59" ht="27" x14ac:dyDescent="0.35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  <c r="AA486" s="1"/>
      <c r="AB486" s="1"/>
      <c r="AC486" s="1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  <c r="AS486" s="1"/>
      <c r="AT486" s="1"/>
      <c r="AU486" s="1"/>
      <c r="AV486" s="1"/>
      <c r="AW486" s="1"/>
      <c r="AX486" s="1"/>
      <c r="AY486" s="1"/>
      <c r="AZ486" s="1"/>
      <c r="BA486" s="1"/>
      <c r="BB486" s="1"/>
      <c r="BC486" s="1"/>
      <c r="BD486" s="1"/>
      <c r="BE486" s="1"/>
      <c r="BF486" s="1"/>
      <c r="BG486" s="1"/>
    </row>
    <row r="487" spans="1:59" ht="27" x14ac:dyDescent="0.35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  <c r="AA487" s="1"/>
      <c r="AB487" s="1"/>
      <c r="AC487" s="1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  <c r="AS487" s="1"/>
      <c r="AT487" s="1"/>
      <c r="AU487" s="1"/>
      <c r="AV487" s="1"/>
      <c r="AW487" s="1"/>
      <c r="AX487" s="1"/>
      <c r="AY487" s="1"/>
      <c r="AZ487" s="1"/>
      <c r="BA487" s="1"/>
      <c r="BB487" s="1"/>
      <c r="BC487" s="1"/>
      <c r="BD487" s="1"/>
      <c r="BE487" s="1"/>
      <c r="BF487" s="1"/>
      <c r="BG487" s="1"/>
    </row>
    <row r="488" spans="1:59" ht="27" x14ac:dyDescent="0.35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  <c r="AA488" s="1"/>
      <c r="AB488" s="1"/>
      <c r="AC488" s="1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  <c r="AS488" s="1"/>
      <c r="AT488" s="1"/>
      <c r="AU488" s="1"/>
      <c r="AV488" s="1"/>
      <c r="AW488" s="1"/>
      <c r="AX488" s="1"/>
      <c r="AY488" s="1"/>
      <c r="AZ488" s="1"/>
      <c r="BA488" s="1"/>
      <c r="BB488" s="1"/>
      <c r="BC488" s="1"/>
      <c r="BD488" s="1"/>
      <c r="BE488" s="1"/>
      <c r="BF488" s="1"/>
      <c r="BG488" s="1"/>
    </row>
    <row r="489" spans="1:59" ht="27" x14ac:dyDescent="0.35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  <c r="AA489" s="1"/>
      <c r="AB489" s="1"/>
      <c r="AC489" s="1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  <c r="AS489" s="1"/>
      <c r="AT489" s="1"/>
      <c r="AU489" s="1"/>
      <c r="AV489" s="1"/>
      <c r="AW489" s="1"/>
      <c r="AX489" s="1"/>
      <c r="AY489" s="1"/>
      <c r="AZ489" s="1"/>
      <c r="BA489" s="1"/>
      <c r="BB489" s="1"/>
      <c r="BC489" s="1"/>
      <c r="BD489" s="1"/>
      <c r="BE489" s="1"/>
      <c r="BF489" s="1"/>
      <c r="BG489" s="1"/>
    </row>
    <row r="490" spans="1:59" ht="27" x14ac:dyDescent="0.35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  <c r="AA490" s="1"/>
      <c r="AB490" s="1"/>
      <c r="AC490" s="1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  <c r="AS490" s="1"/>
      <c r="AT490" s="1"/>
      <c r="AU490" s="1"/>
      <c r="AV490" s="1"/>
      <c r="AW490" s="1"/>
      <c r="AX490" s="1"/>
      <c r="AY490" s="1"/>
      <c r="AZ490" s="1"/>
      <c r="BA490" s="1"/>
      <c r="BB490" s="1"/>
      <c r="BC490" s="1"/>
      <c r="BD490" s="1"/>
      <c r="BE490" s="1"/>
      <c r="BF490" s="1"/>
      <c r="BG490" s="1"/>
    </row>
    <row r="491" spans="1:59" ht="27" x14ac:dyDescent="0.35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  <c r="AA491" s="1"/>
      <c r="AB491" s="1"/>
      <c r="AC491" s="1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  <c r="AS491" s="1"/>
      <c r="AT491" s="1"/>
      <c r="AU491" s="1"/>
      <c r="AV491" s="1"/>
      <c r="AW491" s="1"/>
      <c r="AX491" s="1"/>
      <c r="AY491" s="1"/>
      <c r="AZ491" s="1"/>
      <c r="BA491" s="1"/>
      <c r="BB491" s="1"/>
      <c r="BC491" s="1"/>
      <c r="BD491" s="1"/>
      <c r="BE491" s="1"/>
      <c r="BF491" s="1"/>
      <c r="BG491" s="1"/>
    </row>
    <row r="492" spans="1:59" ht="27" x14ac:dyDescent="0.35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  <c r="AA492" s="1"/>
      <c r="AB492" s="1"/>
      <c r="AC492" s="1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  <c r="AS492" s="1"/>
      <c r="AT492" s="1"/>
      <c r="AU492" s="1"/>
      <c r="AV492" s="1"/>
      <c r="AW492" s="1"/>
      <c r="AX492" s="1"/>
      <c r="AY492" s="1"/>
      <c r="AZ492" s="1"/>
      <c r="BA492" s="1"/>
      <c r="BB492" s="1"/>
      <c r="BC492" s="1"/>
      <c r="BD492" s="1"/>
      <c r="BE492" s="1"/>
      <c r="BF492" s="1"/>
      <c r="BG492" s="1"/>
    </row>
    <row r="493" spans="1:59" ht="27" x14ac:dyDescent="0.35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  <c r="AA493" s="1"/>
      <c r="AB493" s="1"/>
      <c r="AC493" s="1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  <c r="AS493" s="1"/>
      <c r="AT493" s="1"/>
      <c r="AU493" s="1"/>
      <c r="AV493" s="1"/>
      <c r="AW493" s="1"/>
      <c r="AX493" s="1"/>
      <c r="AY493" s="1"/>
      <c r="AZ493" s="1"/>
      <c r="BA493" s="1"/>
      <c r="BB493" s="1"/>
      <c r="BC493" s="1"/>
      <c r="BD493" s="1"/>
      <c r="BE493" s="1"/>
      <c r="BF493" s="1"/>
      <c r="BG493" s="1"/>
    </row>
    <row r="494" spans="1:59" ht="27" x14ac:dyDescent="0.35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  <c r="AA494" s="1"/>
      <c r="AB494" s="1"/>
      <c r="AC494" s="1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  <c r="AS494" s="1"/>
      <c r="AT494" s="1"/>
      <c r="AU494" s="1"/>
      <c r="AV494" s="1"/>
      <c r="AW494" s="1"/>
      <c r="AX494" s="1"/>
      <c r="AY494" s="1"/>
      <c r="AZ494" s="1"/>
      <c r="BA494" s="1"/>
      <c r="BB494" s="1"/>
      <c r="BC494" s="1"/>
      <c r="BD494" s="1"/>
      <c r="BE494" s="1"/>
      <c r="BF494" s="1"/>
      <c r="BG494" s="1"/>
    </row>
    <row r="495" spans="1:59" ht="27" x14ac:dyDescent="0.35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  <c r="AA495" s="1"/>
      <c r="AB495" s="1"/>
      <c r="AC495" s="1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  <c r="AS495" s="1"/>
      <c r="AT495" s="1"/>
      <c r="AU495" s="1"/>
      <c r="AV495" s="1"/>
      <c r="AW495" s="1"/>
      <c r="AX495" s="1"/>
      <c r="AY495" s="1"/>
      <c r="AZ495" s="1"/>
      <c r="BA495" s="1"/>
      <c r="BB495" s="1"/>
      <c r="BC495" s="1"/>
      <c r="BD495" s="1"/>
      <c r="BE495" s="1"/>
      <c r="BF495" s="1"/>
      <c r="BG495" s="1"/>
    </row>
    <row r="496" spans="1:59" ht="27" x14ac:dyDescent="0.35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  <c r="AA496" s="1"/>
      <c r="AB496" s="1"/>
      <c r="AC496" s="1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  <c r="AS496" s="1"/>
      <c r="AT496" s="1"/>
      <c r="AU496" s="1"/>
      <c r="AV496" s="1"/>
      <c r="AW496" s="1"/>
      <c r="AX496" s="1"/>
      <c r="AY496" s="1"/>
      <c r="AZ496" s="1"/>
      <c r="BA496" s="1"/>
      <c r="BB496" s="1"/>
      <c r="BC496" s="1"/>
      <c r="BD496" s="1"/>
      <c r="BE496" s="1"/>
      <c r="BF496" s="1"/>
      <c r="BG496" s="1"/>
    </row>
    <row r="497" spans="1:59" ht="27" x14ac:dyDescent="0.35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  <c r="AA497" s="1"/>
      <c r="AB497" s="1"/>
      <c r="AC497" s="1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  <c r="AS497" s="1"/>
      <c r="AT497" s="1"/>
      <c r="AU497" s="1"/>
      <c r="AV497" s="1"/>
      <c r="AW497" s="1"/>
      <c r="AX497" s="1"/>
      <c r="AY497" s="1"/>
      <c r="AZ497" s="1"/>
      <c r="BA497" s="1"/>
      <c r="BB497" s="1"/>
      <c r="BC497" s="1"/>
      <c r="BD497" s="1"/>
      <c r="BE497" s="1"/>
      <c r="BF497" s="1"/>
      <c r="BG497" s="1"/>
    </row>
    <row r="498" spans="1:59" ht="27" x14ac:dyDescent="0.35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  <c r="AA498" s="1"/>
      <c r="AB498" s="1"/>
      <c r="AC498" s="1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  <c r="AS498" s="1"/>
      <c r="AT498" s="1"/>
      <c r="AU498" s="1"/>
      <c r="AV498" s="1"/>
      <c r="AW498" s="1"/>
      <c r="AX498" s="1"/>
      <c r="AY498" s="1"/>
      <c r="AZ498" s="1"/>
      <c r="BA498" s="1"/>
      <c r="BB498" s="1"/>
      <c r="BC498" s="1"/>
      <c r="BD498" s="1"/>
      <c r="BE498" s="1"/>
      <c r="BF498" s="1"/>
      <c r="BG498" s="1"/>
    </row>
    <row r="499" spans="1:59" ht="27" x14ac:dyDescent="0.35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  <c r="AA499" s="1"/>
      <c r="AB499" s="1"/>
      <c r="AC499" s="1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  <c r="AS499" s="1"/>
      <c r="AT499" s="1"/>
      <c r="AU499" s="1"/>
      <c r="AV499" s="1"/>
      <c r="AW499" s="1"/>
      <c r="AX499" s="1"/>
      <c r="AY499" s="1"/>
      <c r="AZ499" s="1"/>
      <c r="BA499" s="1"/>
      <c r="BB499" s="1"/>
      <c r="BC499" s="1"/>
      <c r="BD499" s="1"/>
      <c r="BE499" s="1"/>
      <c r="BF499" s="1"/>
      <c r="BG499" s="1"/>
    </row>
    <row r="500" spans="1:59" ht="27" x14ac:dyDescent="0.35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  <c r="AA500" s="1"/>
      <c r="AB500" s="1"/>
      <c r="AC500" s="1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  <c r="AS500" s="1"/>
      <c r="AT500" s="1"/>
      <c r="AU500" s="1"/>
      <c r="AV500" s="1"/>
      <c r="AW500" s="1"/>
      <c r="AX500" s="1"/>
      <c r="AY500" s="1"/>
      <c r="AZ500" s="1"/>
      <c r="BA500" s="1"/>
      <c r="BB500" s="1"/>
      <c r="BC500" s="1"/>
      <c r="BD500" s="1"/>
      <c r="BE500" s="1"/>
      <c r="BF500" s="1"/>
      <c r="BG500" s="1"/>
    </row>
    <row r="501" spans="1:59" ht="27" x14ac:dyDescent="0.35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  <c r="AA501" s="1"/>
      <c r="AB501" s="1"/>
      <c r="AC501" s="1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  <c r="AS501" s="1"/>
      <c r="AT501" s="1"/>
      <c r="AU501" s="1"/>
      <c r="AV501" s="1"/>
      <c r="AW501" s="1"/>
      <c r="AX501" s="1"/>
      <c r="AY501" s="1"/>
      <c r="AZ501" s="1"/>
      <c r="BA501" s="1"/>
      <c r="BB501" s="1"/>
      <c r="BC501" s="1"/>
      <c r="BD501" s="1"/>
      <c r="BE501" s="1"/>
      <c r="BF501" s="1"/>
      <c r="BG501" s="1"/>
    </row>
    <row r="502" spans="1:59" ht="27" x14ac:dyDescent="0.35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  <c r="AA502" s="1"/>
      <c r="AB502" s="1"/>
      <c r="AC502" s="1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  <c r="AS502" s="1"/>
      <c r="AT502" s="1"/>
      <c r="AU502" s="1"/>
      <c r="AV502" s="1"/>
      <c r="AW502" s="1"/>
      <c r="AX502" s="1"/>
      <c r="AY502" s="1"/>
      <c r="AZ502" s="1"/>
      <c r="BA502" s="1"/>
      <c r="BB502" s="1"/>
      <c r="BC502" s="1"/>
      <c r="BD502" s="1"/>
      <c r="BE502" s="1"/>
      <c r="BF502" s="1"/>
      <c r="BG502" s="1"/>
    </row>
    <row r="503" spans="1:59" ht="27" x14ac:dyDescent="0.35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  <c r="AA503" s="1"/>
      <c r="AB503" s="1"/>
      <c r="AC503" s="1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  <c r="AS503" s="1"/>
      <c r="AT503" s="1"/>
      <c r="AU503" s="1"/>
      <c r="AV503" s="1"/>
      <c r="AW503" s="1"/>
      <c r="AX503" s="1"/>
      <c r="AY503" s="1"/>
      <c r="AZ503" s="1"/>
      <c r="BA503" s="1"/>
      <c r="BB503" s="1"/>
      <c r="BC503" s="1"/>
      <c r="BD503" s="1"/>
      <c r="BE503" s="1"/>
      <c r="BF503" s="1"/>
      <c r="BG503" s="1"/>
    </row>
    <row r="504" spans="1:59" ht="27" x14ac:dyDescent="0.35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  <c r="AA504" s="1"/>
      <c r="AB504" s="1"/>
      <c r="AC504" s="1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  <c r="AS504" s="1"/>
      <c r="AT504" s="1"/>
      <c r="AU504" s="1"/>
      <c r="AV504" s="1"/>
      <c r="AW504" s="1"/>
      <c r="AX504" s="1"/>
      <c r="AY504" s="1"/>
      <c r="AZ504" s="1"/>
      <c r="BA504" s="1"/>
      <c r="BB504" s="1"/>
      <c r="BC504" s="1"/>
      <c r="BD504" s="1"/>
      <c r="BE504" s="1"/>
      <c r="BF504" s="1"/>
      <c r="BG504" s="1"/>
    </row>
    <row r="505" spans="1:59" ht="27" x14ac:dyDescent="0.35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  <c r="AA505" s="1"/>
      <c r="AB505" s="1"/>
      <c r="AC505" s="1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  <c r="AS505" s="1"/>
      <c r="AT505" s="1"/>
      <c r="AU505" s="1"/>
      <c r="AV505" s="1"/>
      <c r="AW505" s="1"/>
      <c r="AX505" s="1"/>
      <c r="AY505" s="1"/>
      <c r="AZ505" s="1"/>
      <c r="BA505" s="1"/>
      <c r="BB505" s="1"/>
      <c r="BC505" s="1"/>
      <c r="BD505" s="1"/>
      <c r="BE505" s="1"/>
      <c r="BF505" s="1"/>
      <c r="BG505" s="1"/>
    </row>
    <row r="506" spans="1:59" ht="27" x14ac:dyDescent="0.35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  <c r="AA506" s="1"/>
      <c r="AB506" s="1"/>
      <c r="AC506" s="1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  <c r="AS506" s="1"/>
      <c r="AT506" s="1"/>
      <c r="AU506" s="1"/>
      <c r="AV506" s="1"/>
      <c r="AW506" s="1"/>
      <c r="AX506" s="1"/>
      <c r="AY506" s="1"/>
      <c r="AZ506" s="1"/>
      <c r="BA506" s="1"/>
      <c r="BB506" s="1"/>
      <c r="BC506" s="1"/>
      <c r="BD506" s="1"/>
      <c r="BE506" s="1"/>
      <c r="BF506" s="1"/>
      <c r="BG506" s="1"/>
    </row>
    <row r="507" spans="1:59" ht="27" x14ac:dyDescent="0.35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  <c r="AA507" s="1"/>
      <c r="AB507" s="1"/>
      <c r="AC507" s="1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  <c r="AS507" s="1"/>
      <c r="AT507" s="1"/>
      <c r="AU507" s="1"/>
      <c r="AV507" s="1"/>
      <c r="AW507" s="1"/>
      <c r="AX507" s="1"/>
      <c r="AY507" s="1"/>
      <c r="AZ507" s="1"/>
      <c r="BA507" s="1"/>
      <c r="BB507" s="1"/>
      <c r="BC507" s="1"/>
      <c r="BD507" s="1"/>
      <c r="BE507" s="1"/>
      <c r="BF507" s="1"/>
      <c r="BG507" s="1"/>
    </row>
    <row r="508" spans="1:59" ht="27" x14ac:dyDescent="0.35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  <c r="AA508" s="1"/>
      <c r="AB508" s="1"/>
      <c r="AC508" s="1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  <c r="AS508" s="1"/>
      <c r="AT508" s="1"/>
      <c r="AU508" s="1"/>
      <c r="AV508" s="1"/>
      <c r="AW508" s="1"/>
      <c r="AX508" s="1"/>
      <c r="AY508" s="1"/>
      <c r="AZ508" s="1"/>
      <c r="BA508" s="1"/>
      <c r="BB508" s="1"/>
      <c r="BC508" s="1"/>
      <c r="BD508" s="1"/>
      <c r="BE508" s="1"/>
      <c r="BF508" s="1"/>
      <c r="BG508" s="1"/>
    </row>
    <row r="509" spans="1:59" ht="27" x14ac:dyDescent="0.35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  <c r="AA509" s="1"/>
      <c r="AB509" s="1"/>
      <c r="AC509" s="1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  <c r="AS509" s="1"/>
      <c r="AT509" s="1"/>
      <c r="AU509" s="1"/>
      <c r="AV509" s="1"/>
      <c r="AW509" s="1"/>
      <c r="AX509" s="1"/>
      <c r="AY509" s="1"/>
      <c r="AZ509" s="1"/>
      <c r="BA509" s="1"/>
      <c r="BB509" s="1"/>
      <c r="BC509" s="1"/>
      <c r="BD509" s="1"/>
      <c r="BE509" s="1"/>
      <c r="BF509" s="1"/>
      <c r="BG509" s="1"/>
    </row>
    <row r="510" spans="1:59" ht="27" x14ac:dyDescent="0.35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  <c r="AA510" s="1"/>
      <c r="AB510" s="1"/>
      <c r="AC510" s="1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  <c r="AS510" s="1"/>
      <c r="AT510" s="1"/>
      <c r="AU510" s="1"/>
      <c r="AV510" s="1"/>
      <c r="AW510" s="1"/>
      <c r="AX510" s="1"/>
      <c r="AY510" s="1"/>
      <c r="AZ510" s="1"/>
      <c r="BA510" s="1"/>
      <c r="BB510" s="1"/>
      <c r="BC510" s="1"/>
      <c r="BD510" s="1"/>
      <c r="BE510" s="1"/>
      <c r="BF510" s="1"/>
      <c r="BG510" s="1"/>
    </row>
    <row r="511" spans="1:59" ht="27" x14ac:dyDescent="0.35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  <c r="AA511" s="1"/>
      <c r="AB511" s="1"/>
      <c r="AC511" s="1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  <c r="AS511" s="1"/>
      <c r="AT511" s="1"/>
      <c r="AU511" s="1"/>
      <c r="AV511" s="1"/>
      <c r="AW511" s="1"/>
      <c r="AX511" s="1"/>
      <c r="AY511" s="1"/>
      <c r="AZ511" s="1"/>
      <c r="BA511" s="1"/>
      <c r="BB511" s="1"/>
      <c r="BC511" s="1"/>
      <c r="BD511" s="1"/>
      <c r="BE511" s="1"/>
      <c r="BF511" s="1"/>
      <c r="BG511" s="1"/>
    </row>
    <row r="512" spans="1:59" ht="27" x14ac:dyDescent="0.35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  <c r="AA512" s="1"/>
      <c r="AB512" s="1"/>
      <c r="AC512" s="1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  <c r="AS512" s="1"/>
      <c r="AT512" s="1"/>
      <c r="AU512" s="1"/>
      <c r="AV512" s="1"/>
      <c r="AW512" s="1"/>
      <c r="AX512" s="1"/>
      <c r="AY512" s="1"/>
      <c r="AZ512" s="1"/>
      <c r="BA512" s="1"/>
      <c r="BB512" s="1"/>
      <c r="BC512" s="1"/>
      <c r="BD512" s="1"/>
      <c r="BE512" s="1"/>
      <c r="BF512" s="1"/>
      <c r="BG512" s="1"/>
    </row>
    <row r="513" spans="1:59" ht="27" x14ac:dyDescent="0.35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  <c r="AA513" s="1"/>
      <c r="AB513" s="1"/>
      <c r="AC513" s="1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  <c r="AS513" s="1"/>
      <c r="AT513" s="1"/>
      <c r="AU513" s="1"/>
      <c r="AV513" s="1"/>
      <c r="AW513" s="1"/>
      <c r="AX513" s="1"/>
      <c r="AY513" s="1"/>
      <c r="AZ513" s="1"/>
      <c r="BA513" s="1"/>
      <c r="BB513" s="1"/>
      <c r="BC513" s="1"/>
      <c r="BD513" s="1"/>
      <c r="BE513" s="1"/>
      <c r="BF513" s="1"/>
      <c r="BG513" s="1"/>
    </row>
    <row r="514" spans="1:59" ht="27" x14ac:dyDescent="0.35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  <c r="AA514" s="1"/>
      <c r="AB514" s="1"/>
      <c r="AC514" s="1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  <c r="AS514" s="1"/>
      <c r="AT514" s="1"/>
      <c r="AU514" s="1"/>
      <c r="AV514" s="1"/>
      <c r="AW514" s="1"/>
      <c r="AX514" s="1"/>
      <c r="AY514" s="1"/>
      <c r="AZ514" s="1"/>
      <c r="BA514" s="1"/>
      <c r="BB514" s="1"/>
      <c r="BC514" s="1"/>
      <c r="BD514" s="1"/>
      <c r="BE514" s="1"/>
      <c r="BF514" s="1"/>
      <c r="BG514" s="1"/>
    </row>
    <row r="515" spans="1:59" ht="27" x14ac:dyDescent="0.35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  <c r="AA515" s="1"/>
      <c r="AB515" s="1"/>
      <c r="AC515" s="1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  <c r="AS515" s="1"/>
      <c r="AT515" s="1"/>
      <c r="AU515" s="1"/>
      <c r="AV515" s="1"/>
      <c r="AW515" s="1"/>
      <c r="AX515" s="1"/>
      <c r="AY515" s="1"/>
      <c r="AZ515" s="1"/>
      <c r="BA515" s="1"/>
      <c r="BB515" s="1"/>
      <c r="BC515" s="1"/>
      <c r="BD515" s="1"/>
      <c r="BE515" s="1"/>
      <c r="BF515" s="1"/>
      <c r="BG515" s="1"/>
    </row>
    <row r="516" spans="1:59" ht="27" x14ac:dyDescent="0.35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  <c r="AA516" s="1"/>
      <c r="AB516" s="1"/>
      <c r="AC516" s="1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  <c r="AS516" s="1"/>
      <c r="AT516" s="1"/>
      <c r="AU516" s="1"/>
      <c r="AV516" s="1"/>
      <c r="AW516" s="1"/>
      <c r="AX516" s="1"/>
      <c r="AY516" s="1"/>
      <c r="AZ516" s="1"/>
      <c r="BA516" s="1"/>
      <c r="BB516" s="1"/>
      <c r="BC516" s="1"/>
      <c r="BD516" s="1"/>
      <c r="BE516" s="1"/>
      <c r="BF516" s="1"/>
      <c r="BG516" s="1"/>
    </row>
    <row r="517" spans="1:59" ht="27" x14ac:dyDescent="0.35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  <c r="AA517" s="1"/>
      <c r="AB517" s="1"/>
      <c r="AC517" s="1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  <c r="AS517" s="1"/>
      <c r="AT517" s="1"/>
      <c r="AU517" s="1"/>
      <c r="AV517" s="1"/>
      <c r="AW517" s="1"/>
      <c r="AX517" s="1"/>
      <c r="AY517" s="1"/>
      <c r="AZ517" s="1"/>
      <c r="BA517" s="1"/>
      <c r="BB517" s="1"/>
      <c r="BC517" s="1"/>
      <c r="BD517" s="1"/>
      <c r="BE517" s="1"/>
      <c r="BF517" s="1"/>
      <c r="BG517" s="1"/>
    </row>
    <row r="518" spans="1:59" ht="27" x14ac:dyDescent="0.35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  <c r="AA518" s="1"/>
      <c r="AB518" s="1"/>
      <c r="AC518" s="1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  <c r="AS518" s="1"/>
      <c r="AT518" s="1"/>
      <c r="AU518" s="1"/>
      <c r="AV518" s="1"/>
      <c r="AW518" s="1"/>
      <c r="AX518" s="1"/>
      <c r="AY518" s="1"/>
      <c r="AZ518" s="1"/>
      <c r="BA518" s="1"/>
      <c r="BB518" s="1"/>
      <c r="BC518" s="1"/>
      <c r="BD518" s="1"/>
      <c r="BE518" s="1"/>
      <c r="BF518" s="1"/>
      <c r="BG518" s="1"/>
    </row>
    <row r="519" spans="1:59" ht="27" x14ac:dyDescent="0.35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  <c r="AA519" s="1"/>
      <c r="AB519" s="1"/>
      <c r="AC519" s="1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  <c r="AS519" s="1"/>
      <c r="AT519" s="1"/>
      <c r="AU519" s="1"/>
      <c r="AV519" s="1"/>
      <c r="AW519" s="1"/>
      <c r="AX519" s="1"/>
      <c r="AY519" s="1"/>
      <c r="AZ519" s="1"/>
      <c r="BA519" s="1"/>
      <c r="BB519" s="1"/>
      <c r="BC519" s="1"/>
      <c r="BD519" s="1"/>
      <c r="BE519" s="1"/>
      <c r="BF519" s="1"/>
      <c r="BG519" s="1"/>
    </row>
    <row r="520" spans="1:59" ht="27" x14ac:dyDescent="0.35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  <c r="AA520" s="1"/>
      <c r="AB520" s="1"/>
      <c r="AC520" s="1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  <c r="AS520" s="1"/>
      <c r="AT520" s="1"/>
      <c r="AU520" s="1"/>
      <c r="AV520" s="1"/>
      <c r="AW520" s="1"/>
      <c r="AX520" s="1"/>
      <c r="AY520" s="1"/>
      <c r="AZ520" s="1"/>
      <c r="BA520" s="1"/>
      <c r="BB520" s="1"/>
      <c r="BC520" s="1"/>
      <c r="BD520" s="1"/>
      <c r="BE520" s="1"/>
      <c r="BF520" s="1"/>
      <c r="BG520" s="1"/>
    </row>
    <row r="521" spans="1:59" ht="27" x14ac:dyDescent="0.35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  <c r="AA521" s="1"/>
      <c r="AB521" s="1"/>
      <c r="AC521" s="1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  <c r="AS521" s="1"/>
      <c r="AT521" s="1"/>
      <c r="AU521" s="1"/>
      <c r="AV521" s="1"/>
      <c r="AW521" s="1"/>
      <c r="AX521" s="1"/>
      <c r="AY521" s="1"/>
      <c r="AZ521" s="1"/>
      <c r="BA521" s="1"/>
      <c r="BB521" s="1"/>
      <c r="BC521" s="1"/>
      <c r="BD521" s="1"/>
      <c r="BE521" s="1"/>
      <c r="BF521" s="1"/>
      <c r="BG521" s="1"/>
    </row>
    <row r="522" spans="1:59" ht="27" x14ac:dyDescent="0.35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  <c r="AA522" s="1"/>
      <c r="AB522" s="1"/>
      <c r="AC522" s="1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  <c r="AS522" s="1"/>
      <c r="AT522" s="1"/>
      <c r="AU522" s="1"/>
      <c r="AV522" s="1"/>
      <c r="AW522" s="1"/>
      <c r="AX522" s="1"/>
      <c r="AY522" s="1"/>
      <c r="AZ522" s="1"/>
      <c r="BA522" s="1"/>
      <c r="BB522" s="1"/>
      <c r="BC522" s="1"/>
      <c r="BD522" s="1"/>
      <c r="BE522" s="1"/>
      <c r="BF522" s="1"/>
      <c r="BG522" s="1"/>
    </row>
    <row r="523" spans="1:59" ht="27" x14ac:dyDescent="0.35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  <c r="AA523" s="1"/>
      <c r="AB523" s="1"/>
      <c r="AC523" s="1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  <c r="AS523" s="1"/>
      <c r="AT523" s="1"/>
      <c r="AU523" s="1"/>
      <c r="AV523" s="1"/>
      <c r="AW523" s="1"/>
      <c r="AX523" s="1"/>
      <c r="AY523" s="1"/>
      <c r="AZ523" s="1"/>
      <c r="BA523" s="1"/>
      <c r="BB523" s="1"/>
      <c r="BC523" s="1"/>
      <c r="BD523" s="1"/>
      <c r="BE523" s="1"/>
      <c r="BF523" s="1"/>
      <c r="BG523" s="1"/>
    </row>
    <row r="524" spans="1:59" ht="27" x14ac:dyDescent="0.35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  <c r="AA524" s="1"/>
      <c r="AB524" s="1"/>
      <c r="AC524" s="1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  <c r="AS524" s="1"/>
      <c r="AT524" s="1"/>
      <c r="AU524" s="1"/>
      <c r="AV524" s="1"/>
      <c r="AW524" s="1"/>
      <c r="AX524" s="1"/>
      <c r="AY524" s="1"/>
      <c r="AZ524" s="1"/>
      <c r="BA524" s="1"/>
      <c r="BB524" s="1"/>
      <c r="BC524" s="1"/>
      <c r="BD524" s="1"/>
      <c r="BE524" s="1"/>
      <c r="BF524" s="1"/>
      <c r="BG524" s="1"/>
    </row>
    <row r="525" spans="1:59" ht="27" x14ac:dyDescent="0.35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  <c r="AA525" s="1"/>
      <c r="AB525" s="1"/>
      <c r="AC525" s="1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  <c r="AS525" s="1"/>
      <c r="AT525" s="1"/>
      <c r="AU525" s="1"/>
      <c r="AV525" s="1"/>
      <c r="AW525" s="1"/>
      <c r="AX525" s="1"/>
      <c r="AY525" s="1"/>
      <c r="AZ525" s="1"/>
      <c r="BA525" s="1"/>
      <c r="BB525" s="1"/>
      <c r="BC525" s="1"/>
      <c r="BD525" s="1"/>
      <c r="BE525" s="1"/>
      <c r="BF525" s="1"/>
      <c r="BG525" s="1"/>
    </row>
    <row r="526" spans="1:59" ht="27" x14ac:dyDescent="0.35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  <c r="AA526" s="1"/>
      <c r="AB526" s="1"/>
      <c r="AC526" s="1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  <c r="AS526" s="1"/>
      <c r="AT526" s="1"/>
      <c r="AU526" s="1"/>
      <c r="AV526" s="1"/>
      <c r="AW526" s="1"/>
      <c r="AX526" s="1"/>
      <c r="AY526" s="1"/>
      <c r="AZ526" s="1"/>
      <c r="BA526" s="1"/>
      <c r="BB526" s="1"/>
      <c r="BC526" s="1"/>
      <c r="BD526" s="1"/>
      <c r="BE526" s="1"/>
      <c r="BF526" s="1"/>
      <c r="BG526" s="1"/>
    </row>
    <row r="527" spans="1:59" ht="27" x14ac:dyDescent="0.35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  <c r="AA527" s="1"/>
      <c r="AB527" s="1"/>
      <c r="AC527" s="1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  <c r="AS527" s="1"/>
      <c r="AT527" s="1"/>
      <c r="AU527" s="1"/>
      <c r="AV527" s="1"/>
      <c r="AW527" s="1"/>
      <c r="AX527" s="1"/>
      <c r="AY527" s="1"/>
      <c r="AZ527" s="1"/>
      <c r="BA527" s="1"/>
      <c r="BB527" s="1"/>
      <c r="BC527" s="1"/>
      <c r="BD527" s="1"/>
      <c r="BE527" s="1"/>
      <c r="BF527" s="1"/>
      <c r="BG527" s="1"/>
    </row>
    <row r="528" spans="1:59" ht="27" x14ac:dyDescent="0.35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  <c r="AA528" s="1"/>
      <c r="AB528" s="1"/>
      <c r="AC528" s="1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  <c r="AS528" s="1"/>
      <c r="AT528" s="1"/>
      <c r="AU528" s="1"/>
      <c r="AV528" s="1"/>
      <c r="AW528" s="1"/>
      <c r="AX528" s="1"/>
      <c r="AY528" s="1"/>
      <c r="AZ528" s="1"/>
      <c r="BA528" s="1"/>
      <c r="BB528" s="1"/>
      <c r="BC528" s="1"/>
      <c r="BD528" s="1"/>
      <c r="BE528" s="1"/>
      <c r="BF528" s="1"/>
      <c r="BG528" s="1"/>
    </row>
    <row r="529" spans="1:59" ht="27" x14ac:dyDescent="0.35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  <c r="AA529" s="1"/>
      <c r="AB529" s="1"/>
      <c r="AC529" s="1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  <c r="AS529" s="1"/>
      <c r="AT529" s="1"/>
      <c r="AU529" s="1"/>
      <c r="AV529" s="1"/>
      <c r="AW529" s="1"/>
      <c r="AX529" s="1"/>
      <c r="AY529" s="1"/>
      <c r="AZ529" s="1"/>
      <c r="BA529" s="1"/>
      <c r="BB529" s="1"/>
      <c r="BC529" s="1"/>
      <c r="BD529" s="1"/>
      <c r="BE529" s="1"/>
      <c r="BF529" s="1"/>
      <c r="BG529" s="1"/>
    </row>
    <row r="530" spans="1:59" ht="27" x14ac:dyDescent="0.35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  <c r="AA530" s="1"/>
      <c r="AB530" s="1"/>
      <c r="AC530" s="1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  <c r="AS530" s="1"/>
      <c r="AT530" s="1"/>
      <c r="AU530" s="1"/>
      <c r="AV530" s="1"/>
      <c r="AW530" s="1"/>
      <c r="AX530" s="1"/>
      <c r="AY530" s="1"/>
      <c r="AZ530" s="1"/>
      <c r="BA530" s="1"/>
      <c r="BB530" s="1"/>
      <c r="BC530" s="1"/>
      <c r="BD530" s="1"/>
      <c r="BE530" s="1"/>
      <c r="BF530" s="1"/>
      <c r="BG530" s="1"/>
    </row>
    <row r="531" spans="1:59" ht="27" x14ac:dyDescent="0.35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  <c r="AA531" s="1"/>
      <c r="AB531" s="1"/>
      <c r="AC531" s="1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  <c r="AS531" s="1"/>
      <c r="AT531" s="1"/>
      <c r="AU531" s="1"/>
      <c r="AV531" s="1"/>
      <c r="AW531" s="1"/>
      <c r="AX531" s="1"/>
      <c r="AY531" s="1"/>
      <c r="AZ531" s="1"/>
      <c r="BA531" s="1"/>
      <c r="BB531" s="1"/>
      <c r="BC531" s="1"/>
      <c r="BD531" s="1"/>
      <c r="BE531" s="1"/>
      <c r="BF531" s="1"/>
      <c r="BG531" s="1"/>
    </row>
    <row r="532" spans="1:59" ht="27" x14ac:dyDescent="0.35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  <c r="AA532" s="1"/>
      <c r="AB532" s="1"/>
      <c r="AC532" s="1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  <c r="AS532" s="1"/>
      <c r="AT532" s="1"/>
      <c r="AU532" s="1"/>
      <c r="AV532" s="1"/>
      <c r="AW532" s="1"/>
      <c r="AX532" s="1"/>
      <c r="AY532" s="1"/>
      <c r="AZ532" s="1"/>
      <c r="BA532" s="1"/>
      <c r="BB532" s="1"/>
      <c r="BC532" s="1"/>
      <c r="BD532" s="1"/>
      <c r="BE532" s="1"/>
      <c r="BF532" s="1"/>
      <c r="BG532" s="1"/>
    </row>
    <row r="533" spans="1:59" ht="27" x14ac:dyDescent="0.35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  <c r="AA533" s="1"/>
      <c r="AB533" s="1"/>
      <c r="AC533" s="1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  <c r="AS533" s="1"/>
      <c r="AT533" s="1"/>
      <c r="AU533" s="1"/>
      <c r="AV533" s="1"/>
      <c r="AW533" s="1"/>
      <c r="AX533" s="1"/>
      <c r="AY533" s="1"/>
      <c r="AZ533" s="1"/>
      <c r="BA533" s="1"/>
      <c r="BB533" s="1"/>
      <c r="BC533" s="1"/>
      <c r="BD533" s="1"/>
      <c r="BE533" s="1"/>
      <c r="BF533" s="1"/>
      <c r="BG533" s="1"/>
    </row>
    <row r="534" spans="1:59" ht="27" x14ac:dyDescent="0.35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  <c r="AA534" s="1"/>
      <c r="AB534" s="1"/>
      <c r="AC534" s="1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  <c r="AS534" s="1"/>
      <c r="AT534" s="1"/>
      <c r="AU534" s="1"/>
      <c r="AV534" s="1"/>
      <c r="AW534" s="1"/>
      <c r="AX534" s="1"/>
      <c r="AY534" s="1"/>
      <c r="AZ534" s="1"/>
      <c r="BA534" s="1"/>
      <c r="BB534" s="1"/>
      <c r="BC534" s="1"/>
      <c r="BD534" s="1"/>
      <c r="BE534" s="1"/>
      <c r="BF534" s="1"/>
      <c r="BG534" s="1"/>
    </row>
    <row r="535" spans="1:59" ht="27" x14ac:dyDescent="0.35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  <c r="AA535" s="1"/>
      <c r="AB535" s="1"/>
      <c r="AC535" s="1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  <c r="AS535" s="1"/>
      <c r="AT535" s="1"/>
      <c r="AU535" s="1"/>
      <c r="AV535" s="1"/>
      <c r="AW535" s="1"/>
      <c r="AX535" s="1"/>
      <c r="AY535" s="1"/>
      <c r="AZ535" s="1"/>
      <c r="BA535" s="1"/>
      <c r="BB535" s="1"/>
      <c r="BC535" s="1"/>
      <c r="BD535" s="1"/>
      <c r="BE535" s="1"/>
      <c r="BF535" s="1"/>
      <c r="BG535" s="1"/>
    </row>
    <row r="536" spans="1:59" ht="27" x14ac:dyDescent="0.35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  <c r="AA536" s="1"/>
      <c r="AB536" s="1"/>
      <c r="AC536" s="1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  <c r="AS536" s="1"/>
      <c r="AT536" s="1"/>
      <c r="AU536" s="1"/>
      <c r="AV536" s="1"/>
      <c r="AW536" s="1"/>
      <c r="AX536" s="1"/>
      <c r="AY536" s="1"/>
      <c r="AZ536" s="1"/>
      <c r="BA536" s="1"/>
      <c r="BB536" s="1"/>
      <c r="BC536" s="1"/>
      <c r="BD536" s="1"/>
      <c r="BE536" s="1"/>
      <c r="BF536" s="1"/>
      <c r="BG536" s="1"/>
    </row>
    <row r="537" spans="1:59" ht="27" x14ac:dyDescent="0.35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  <c r="AA537" s="1"/>
      <c r="AB537" s="1"/>
      <c r="AC537" s="1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  <c r="AS537" s="1"/>
      <c r="AT537" s="1"/>
      <c r="AU537" s="1"/>
      <c r="AV537" s="1"/>
      <c r="AW537" s="1"/>
      <c r="AX537" s="1"/>
      <c r="AY537" s="1"/>
      <c r="AZ537" s="1"/>
      <c r="BA537" s="1"/>
      <c r="BB537" s="1"/>
      <c r="BC537" s="1"/>
      <c r="BD537" s="1"/>
      <c r="BE537" s="1"/>
      <c r="BF537" s="1"/>
      <c r="BG537" s="1"/>
    </row>
    <row r="538" spans="1:59" ht="27" x14ac:dyDescent="0.35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  <c r="AA538" s="1"/>
      <c r="AB538" s="1"/>
      <c r="AC538" s="1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  <c r="AS538" s="1"/>
      <c r="AT538" s="1"/>
      <c r="AU538" s="1"/>
      <c r="AV538" s="1"/>
      <c r="AW538" s="1"/>
      <c r="AX538" s="1"/>
      <c r="AY538" s="1"/>
      <c r="AZ538" s="1"/>
      <c r="BA538" s="1"/>
      <c r="BB538" s="1"/>
      <c r="BC538" s="1"/>
      <c r="BD538" s="1"/>
      <c r="BE538" s="1"/>
      <c r="BF538" s="1"/>
      <c r="BG538" s="1"/>
    </row>
    <row r="539" spans="1:59" ht="27" x14ac:dyDescent="0.35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  <c r="AA539" s="1"/>
      <c r="AB539" s="1"/>
      <c r="AC539" s="1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  <c r="AS539" s="1"/>
      <c r="AT539" s="1"/>
      <c r="AU539" s="1"/>
      <c r="AV539" s="1"/>
      <c r="AW539" s="1"/>
      <c r="AX539" s="1"/>
      <c r="AY539" s="1"/>
      <c r="AZ539" s="1"/>
      <c r="BA539" s="1"/>
      <c r="BB539" s="1"/>
      <c r="BC539" s="1"/>
      <c r="BD539" s="1"/>
      <c r="BE539" s="1"/>
      <c r="BF539" s="1"/>
      <c r="BG539" s="1"/>
    </row>
    <row r="540" spans="1:59" ht="27" x14ac:dyDescent="0.35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  <c r="AA540" s="1"/>
      <c r="AB540" s="1"/>
      <c r="AC540" s="1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  <c r="AS540" s="1"/>
      <c r="AT540" s="1"/>
      <c r="AU540" s="1"/>
      <c r="AV540" s="1"/>
      <c r="AW540" s="1"/>
      <c r="AX540" s="1"/>
      <c r="AY540" s="1"/>
      <c r="AZ540" s="1"/>
      <c r="BA540" s="1"/>
      <c r="BB540" s="1"/>
      <c r="BC540" s="1"/>
      <c r="BD540" s="1"/>
      <c r="BE540" s="1"/>
      <c r="BF540" s="1"/>
      <c r="BG540" s="1"/>
    </row>
    <row r="541" spans="1:59" ht="27" x14ac:dyDescent="0.35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  <c r="AA541" s="1"/>
      <c r="AB541" s="1"/>
      <c r="AC541" s="1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  <c r="AS541" s="1"/>
      <c r="AT541" s="1"/>
      <c r="AU541" s="1"/>
      <c r="AV541" s="1"/>
      <c r="AW541" s="1"/>
      <c r="AX541" s="1"/>
      <c r="AY541" s="1"/>
      <c r="AZ541" s="1"/>
      <c r="BA541" s="1"/>
      <c r="BB541" s="1"/>
      <c r="BC541" s="1"/>
      <c r="BD541" s="1"/>
      <c r="BE541" s="1"/>
      <c r="BF541" s="1"/>
      <c r="BG541" s="1"/>
    </row>
    <row r="542" spans="1:59" ht="27" x14ac:dyDescent="0.35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  <c r="AA542" s="1"/>
      <c r="AB542" s="1"/>
      <c r="AC542" s="1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  <c r="AS542" s="1"/>
      <c r="AT542" s="1"/>
      <c r="AU542" s="1"/>
      <c r="AV542" s="1"/>
      <c r="AW542" s="1"/>
      <c r="AX542" s="1"/>
      <c r="AY542" s="1"/>
      <c r="AZ542" s="1"/>
      <c r="BA542" s="1"/>
      <c r="BB542" s="1"/>
      <c r="BC542" s="1"/>
      <c r="BD542" s="1"/>
      <c r="BE542" s="1"/>
      <c r="BF542" s="1"/>
      <c r="BG542" s="1"/>
    </row>
    <row r="543" spans="1:59" ht="27" x14ac:dyDescent="0.35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  <c r="AA543" s="1"/>
      <c r="AB543" s="1"/>
      <c r="AC543" s="1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  <c r="AS543" s="1"/>
      <c r="AT543" s="1"/>
      <c r="AU543" s="1"/>
      <c r="AV543" s="1"/>
      <c r="AW543" s="1"/>
      <c r="AX543" s="1"/>
      <c r="AY543" s="1"/>
      <c r="AZ543" s="1"/>
      <c r="BA543" s="1"/>
      <c r="BB543" s="1"/>
      <c r="BC543" s="1"/>
      <c r="BD543" s="1"/>
      <c r="BE543" s="1"/>
      <c r="BF543" s="1"/>
      <c r="BG543" s="1"/>
    </row>
    <row r="544" spans="1:59" ht="27" x14ac:dyDescent="0.35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  <c r="AA544" s="1"/>
      <c r="AB544" s="1"/>
      <c r="AC544" s="1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  <c r="AS544" s="1"/>
      <c r="AT544" s="1"/>
      <c r="AU544" s="1"/>
      <c r="AV544" s="1"/>
      <c r="AW544" s="1"/>
      <c r="AX544" s="1"/>
      <c r="AY544" s="1"/>
      <c r="AZ544" s="1"/>
      <c r="BA544" s="1"/>
      <c r="BB544" s="1"/>
      <c r="BC544" s="1"/>
      <c r="BD544" s="1"/>
      <c r="BE544" s="1"/>
      <c r="BF544" s="1"/>
      <c r="BG544" s="1"/>
    </row>
    <row r="545" spans="1:59" ht="27" x14ac:dyDescent="0.35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  <c r="AA545" s="1"/>
      <c r="AB545" s="1"/>
      <c r="AC545" s="1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  <c r="AS545" s="1"/>
      <c r="AT545" s="1"/>
      <c r="AU545" s="1"/>
      <c r="AV545" s="1"/>
      <c r="AW545" s="1"/>
      <c r="AX545" s="1"/>
      <c r="AY545" s="1"/>
      <c r="AZ545" s="1"/>
      <c r="BA545" s="1"/>
      <c r="BB545" s="1"/>
      <c r="BC545" s="1"/>
      <c r="BD545" s="1"/>
      <c r="BE545" s="1"/>
      <c r="BF545" s="1"/>
      <c r="BG545" s="1"/>
    </row>
    <row r="546" spans="1:59" ht="27" x14ac:dyDescent="0.35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  <c r="AA546" s="1"/>
      <c r="AB546" s="1"/>
      <c r="AC546" s="1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  <c r="AS546" s="1"/>
      <c r="AT546" s="1"/>
      <c r="AU546" s="1"/>
      <c r="AV546" s="1"/>
      <c r="AW546" s="1"/>
      <c r="AX546" s="1"/>
      <c r="AY546" s="1"/>
      <c r="AZ546" s="1"/>
      <c r="BA546" s="1"/>
      <c r="BB546" s="1"/>
      <c r="BC546" s="1"/>
      <c r="BD546" s="1"/>
      <c r="BE546" s="1"/>
      <c r="BF546" s="1"/>
      <c r="BG546" s="1"/>
    </row>
    <row r="547" spans="1:59" ht="27" x14ac:dyDescent="0.35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  <c r="AA547" s="1"/>
      <c r="AB547" s="1"/>
      <c r="AC547" s="1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  <c r="AS547" s="1"/>
      <c r="AT547" s="1"/>
      <c r="AU547" s="1"/>
      <c r="AV547" s="1"/>
      <c r="AW547" s="1"/>
      <c r="AX547" s="1"/>
      <c r="AY547" s="1"/>
      <c r="AZ547" s="1"/>
      <c r="BA547" s="1"/>
      <c r="BB547" s="1"/>
      <c r="BC547" s="1"/>
      <c r="BD547" s="1"/>
      <c r="BE547" s="1"/>
      <c r="BF547" s="1"/>
      <c r="BG547" s="1"/>
    </row>
    <row r="548" spans="1:59" ht="27" x14ac:dyDescent="0.35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  <c r="AA548" s="1"/>
      <c r="AB548" s="1"/>
      <c r="AC548" s="1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  <c r="AS548" s="1"/>
      <c r="AT548" s="1"/>
      <c r="AU548" s="1"/>
      <c r="AV548" s="1"/>
      <c r="AW548" s="1"/>
      <c r="AX548" s="1"/>
      <c r="AY548" s="1"/>
      <c r="AZ548" s="1"/>
      <c r="BA548" s="1"/>
      <c r="BB548" s="1"/>
      <c r="BC548" s="1"/>
      <c r="BD548" s="1"/>
      <c r="BE548" s="1"/>
      <c r="BF548" s="1"/>
      <c r="BG548" s="1"/>
    </row>
    <row r="549" spans="1:59" ht="27" x14ac:dyDescent="0.35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  <c r="AA549" s="1"/>
      <c r="AB549" s="1"/>
      <c r="AC549" s="1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  <c r="AS549" s="1"/>
      <c r="AT549" s="1"/>
      <c r="AU549" s="1"/>
      <c r="AV549" s="1"/>
      <c r="AW549" s="1"/>
      <c r="AX549" s="1"/>
      <c r="AY549" s="1"/>
      <c r="AZ549" s="1"/>
      <c r="BA549" s="1"/>
      <c r="BB549" s="1"/>
      <c r="BC549" s="1"/>
      <c r="BD549" s="1"/>
      <c r="BE549" s="1"/>
      <c r="BF549" s="1"/>
      <c r="BG549" s="1"/>
    </row>
    <row r="550" spans="1:59" ht="27" x14ac:dyDescent="0.35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  <c r="AA550" s="1"/>
      <c r="AB550" s="1"/>
      <c r="AC550" s="1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  <c r="AS550" s="1"/>
      <c r="AT550" s="1"/>
      <c r="AU550" s="1"/>
      <c r="AV550" s="1"/>
      <c r="AW550" s="1"/>
      <c r="AX550" s="1"/>
      <c r="AY550" s="1"/>
      <c r="AZ550" s="1"/>
      <c r="BA550" s="1"/>
      <c r="BB550" s="1"/>
      <c r="BC550" s="1"/>
      <c r="BD550" s="1"/>
      <c r="BE550" s="1"/>
      <c r="BF550" s="1"/>
      <c r="BG550" s="1"/>
    </row>
    <row r="551" spans="1:59" ht="27" x14ac:dyDescent="0.35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  <c r="AA551" s="1"/>
      <c r="AB551" s="1"/>
      <c r="AC551" s="1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  <c r="AS551" s="1"/>
      <c r="AT551" s="1"/>
      <c r="AU551" s="1"/>
      <c r="AV551" s="1"/>
      <c r="AW551" s="1"/>
      <c r="AX551" s="1"/>
      <c r="AY551" s="1"/>
      <c r="AZ551" s="1"/>
      <c r="BA551" s="1"/>
      <c r="BB551" s="1"/>
      <c r="BC551" s="1"/>
      <c r="BD551" s="1"/>
      <c r="BE551" s="1"/>
      <c r="BF551" s="1"/>
      <c r="BG551" s="1"/>
    </row>
    <row r="552" spans="1:59" ht="27" x14ac:dyDescent="0.35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  <c r="AA552" s="1"/>
      <c r="AB552" s="1"/>
      <c r="AC552" s="1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  <c r="AS552" s="1"/>
      <c r="AT552" s="1"/>
      <c r="AU552" s="1"/>
      <c r="AV552" s="1"/>
      <c r="AW552" s="1"/>
      <c r="AX552" s="1"/>
      <c r="AY552" s="1"/>
      <c r="AZ552" s="1"/>
      <c r="BA552" s="1"/>
      <c r="BB552" s="1"/>
      <c r="BC552" s="1"/>
      <c r="BD552" s="1"/>
      <c r="BE552" s="1"/>
      <c r="BF552" s="1"/>
      <c r="BG552" s="1"/>
    </row>
    <row r="553" spans="1:59" ht="27" x14ac:dyDescent="0.35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  <c r="AA553" s="1"/>
      <c r="AB553" s="1"/>
      <c r="AC553" s="1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  <c r="AS553" s="1"/>
      <c r="AT553" s="1"/>
      <c r="AU553" s="1"/>
      <c r="AV553" s="1"/>
      <c r="AW553" s="1"/>
      <c r="AX553" s="1"/>
      <c r="AY553" s="1"/>
      <c r="AZ553" s="1"/>
      <c r="BA553" s="1"/>
      <c r="BB553" s="1"/>
      <c r="BC553" s="1"/>
      <c r="BD553" s="1"/>
      <c r="BE553" s="1"/>
      <c r="BF553" s="1"/>
      <c r="BG553" s="1"/>
    </row>
    <row r="554" spans="1:59" ht="27" x14ac:dyDescent="0.35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  <c r="AA554" s="1"/>
      <c r="AB554" s="1"/>
      <c r="AC554" s="1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  <c r="AS554" s="1"/>
      <c r="AT554" s="1"/>
      <c r="AU554" s="1"/>
      <c r="AV554" s="1"/>
      <c r="AW554" s="1"/>
      <c r="AX554" s="1"/>
      <c r="AY554" s="1"/>
      <c r="AZ554" s="1"/>
      <c r="BA554" s="1"/>
      <c r="BB554" s="1"/>
      <c r="BC554" s="1"/>
      <c r="BD554" s="1"/>
      <c r="BE554" s="1"/>
      <c r="BF554" s="1"/>
      <c r="BG554" s="1"/>
    </row>
    <row r="555" spans="1:59" ht="27" x14ac:dyDescent="0.35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  <c r="AA555" s="1"/>
      <c r="AB555" s="1"/>
      <c r="AC555" s="1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  <c r="AS555" s="1"/>
      <c r="AT555" s="1"/>
      <c r="AU555" s="1"/>
      <c r="AV555" s="1"/>
      <c r="AW555" s="1"/>
      <c r="AX555" s="1"/>
      <c r="AY555" s="1"/>
      <c r="AZ555" s="1"/>
      <c r="BA555" s="1"/>
      <c r="BB555" s="1"/>
      <c r="BC555" s="1"/>
      <c r="BD555" s="1"/>
      <c r="BE555" s="1"/>
      <c r="BF555" s="1"/>
      <c r="BG555" s="1"/>
    </row>
    <row r="556" spans="1:59" ht="27" x14ac:dyDescent="0.35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  <c r="AA556" s="1"/>
      <c r="AB556" s="1"/>
      <c r="AC556" s="1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  <c r="AS556" s="1"/>
      <c r="AT556" s="1"/>
      <c r="AU556" s="1"/>
      <c r="AV556" s="1"/>
      <c r="AW556" s="1"/>
      <c r="AX556" s="1"/>
      <c r="AY556" s="1"/>
      <c r="AZ556" s="1"/>
      <c r="BA556" s="1"/>
      <c r="BB556" s="1"/>
      <c r="BC556" s="1"/>
      <c r="BD556" s="1"/>
      <c r="BE556" s="1"/>
      <c r="BF556" s="1"/>
      <c r="BG556" s="1"/>
    </row>
    <row r="557" spans="1:59" ht="27" x14ac:dyDescent="0.35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  <c r="AA557" s="1"/>
      <c r="AB557" s="1"/>
      <c r="AC557" s="1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  <c r="AS557" s="1"/>
      <c r="AT557" s="1"/>
      <c r="AU557" s="1"/>
      <c r="AV557" s="1"/>
      <c r="AW557" s="1"/>
      <c r="AX557" s="1"/>
      <c r="AY557" s="1"/>
      <c r="AZ557" s="1"/>
      <c r="BA557" s="1"/>
      <c r="BB557" s="1"/>
      <c r="BC557" s="1"/>
      <c r="BD557" s="1"/>
      <c r="BE557" s="1"/>
      <c r="BF557" s="1"/>
      <c r="BG557" s="1"/>
    </row>
    <row r="558" spans="1:59" ht="27" x14ac:dyDescent="0.35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  <c r="AA558" s="1"/>
      <c r="AB558" s="1"/>
      <c r="AC558" s="1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  <c r="AS558" s="1"/>
      <c r="AT558" s="1"/>
      <c r="AU558" s="1"/>
      <c r="AV558" s="1"/>
      <c r="AW558" s="1"/>
      <c r="AX558" s="1"/>
      <c r="AY558" s="1"/>
      <c r="AZ558" s="1"/>
      <c r="BA558" s="1"/>
      <c r="BB558" s="1"/>
      <c r="BC558" s="1"/>
      <c r="BD558" s="1"/>
      <c r="BE558" s="1"/>
      <c r="BF558" s="1"/>
      <c r="BG558" s="1"/>
    </row>
    <row r="559" spans="1:59" ht="27" x14ac:dyDescent="0.35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  <c r="AA559" s="1"/>
      <c r="AB559" s="1"/>
      <c r="AC559" s="1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  <c r="AS559" s="1"/>
      <c r="AT559" s="1"/>
      <c r="AU559" s="1"/>
      <c r="AV559" s="1"/>
      <c r="AW559" s="1"/>
      <c r="AX559" s="1"/>
      <c r="AY559" s="1"/>
      <c r="AZ559" s="1"/>
      <c r="BA559" s="1"/>
      <c r="BB559" s="1"/>
      <c r="BC559" s="1"/>
      <c r="BD559" s="1"/>
      <c r="BE559" s="1"/>
      <c r="BF559" s="1"/>
      <c r="BG559" s="1"/>
    </row>
    <row r="560" spans="1:59" ht="27" x14ac:dyDescent="0.35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  <c r="AA560" s="1"/>
      <c r="AB560" s="1"/>
      <c r="AC560" s="1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  <c r="AS560" s="1"/>
      <c r="AT560" s="1"/>
      <c r="AU560" s="1"/>
      <c r="AV560" s="1"/>
      <c r="AW560" s="1"/>
      <c r="AX560" s="1"/>
      <c r="AY560" s="1"/>
      <c r="AZ560" s="1"/>
      <c r="BA560" s="1"/>
      <c r="BB560" s="1"/>
      <c r="BC560" s="1"/>
      <c r="BD560" s="1"/>
      <c r="BE560" s="1"/>
      <c r="BF560" s="1"/>
      <c r="BG560" s="1"/>
    </row>
    <row r="561" spans="1:59" ht="27" x14ac:dyDescent="0.35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  <c r="AA561" s="1"/>
      <c r="AB561" s="1"/>
      <c r="AC561" s="1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  <c r="AS561" s="1"/>
      <c r="AT561" s="1"/>
      <c r="AU561" s="1"/>
      <c r="AV561" s="1"/>
      <c r="AW561" s="1"/>
      <c r="AX561" s="1"/>
      <c r="AY561" s="1"/>
      <c r="AZ561" s="1"/>
      <c r="BA561" s="1"/>
      <c r="BB561" s="1"/>
      <c r="BC561" s="1"/>
      <c r="BD561" s="1"/>
      <c r="BE561" s="1"/>
      <c r="BF561" s="1"/>
      <c r="BG561" s="1"/>
    </row>
    <row r="562" spans="1:59" ht="27" x14ac:dyDescent="0.35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  <c r="AA562" s="1"/>
      <c r="AB562" s="1"/>
      <c r="AC562" s="1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  <c r="AS562" s="1"/>
      <c r="AT562" s="1"/>
      <c r="AU562" s="1"/>
      <c r="AV562" s="1"/>
      <c r="AW562" s="1"/>
      <c r="AX562" s="1"/>
      <c r="AY562" s="1"/>
      <c r="AZ562" s="1"/>
      <c r="BA562" s="1"/>
      <c r="BB562" s="1"/>
      <c r="BC562" s="1"/>
      <c r="BD562" s="1"/>
      <c r="BE562" s="1"/>
      <c r="BF562" s="1"/>
      <c r="BG562" s="1"/>
    </row>
    <row r="563" spans="1:59" ht="27" x14ac:dyDescent="0.35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  <c r="AA563" s="1"/>
      <c r="AB563" s="1"/>
      <c r="AC563" s="1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  <c r="AS563" s="1"/>
      <c r="AT563" s="1"/>
      <c r="AU563" s="1"/>
      <c r="AV563" s="1"/>
      <c r="AW563" s="1"/>
      <c r="AX563" s="1"/>
      <c r="AY563" s="1"/>
      <c r="AZ563" s="1"/>
      <c r="BA563" s="1"/>
      <c r="BB563" s="1"/>
      <c r="BC563" s="1"/>
      <c r="BD563" s="1"/>
      <c r="BE563" s="1"/>
      <c r="BF563" s="1"/>
      <c r="BG563" s="1"/>
    </row>
    <row r="564" spans="1:59" ht="27" x14ac:dyDescent="0.35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  <c r="AA564" s="1"/>
      <c r="AB564" s="1"/>
      <c r="AC564" s="1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  <c r="AS564" s="1"/>
      <c r="AT564" s="1"/>
      <c r="AU564" s="1"/>
      <c r="AV564" s="1"/>
      <c r="AW564" s="1"/>
      <c r="AX564" s="1"/>
      <c r="AY564" s="1"/>
      <c r="AZ564" s="1"/>
      <c r="BA564" s="1"/>
      <c r="BB564" s="1"/>
      <c r="BC564" s="1"/>
      <c r="BD564" s="1"/>
      <c r="BE564" s="1"/>
      <c r="BF564" s="1"/>
      <c r="BG564" s="1"/>
    </row>
    <row r="565" spans="1:59" ht="27" x14ac:dyDescent="0.35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  <c r="AA565" s="1"/>
      <c r="AB565" s="1"/>
      <c r="AC565" s="1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  <c r="AS565" s="1"/>
      <c r="AT565" s="1"/>
      <c r="AU565" s="1"/>
      <c r="AV565" s="1"/>
      <c r="AW565" s="1"/>
      <c r="AX565" s="1"/>
      <c r="AY565" s="1"/>
      <c r="AZ565" s="1"/>
      <c r="BA565" s="1"/>
      <c r="BB565" s="1"/>
      <c r="BC565" s="1"/>
      <c r="BD565" s="1"/>
      <c r="BE565" s="1"/>
      <c r="BF565" s="1"/>
      <c r="BG565" s="1"/>
    </row>
    <row r="566" spans="1:59" ht="27" x14ac:dyDescent="0.35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  <c r="AA566" s="1"/>
      <c r="AB566" s="1"/>
      <c r="AC566" s="1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  <c r="AS566" s="1"/>
      <c r="AT566" s="1"/>
      <c r="AU566" s="1"/>
      <c r="AV566" s="1"/>
      <c r="AW566" s="1"/>
      <c r="AX566" s="1"/>
      <c r="AY566" s="1"/>
      <c r="AZ566" s="1"/>
      <c r="BA566" s="1"/>
      <c r="BB566" s="1"/>
      <c r="BC566" s="1"/>
      <c r="BD566" s="1"/>
      <c r="BE566" s="1"/>
      <c r="BF566" s="1"/>
      <c r="BG566" s="1"/>
    </row>
    <row r="567" spans="1:59" ht="27" x14ac:dyDescent="0.35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  <c r="AA567" s="1"/>
      <c r="AB567" s="1"/>
      <c r="AC567" s="1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  <c r="AS567" s="1"/>
      <c r="AT567" s="1"/>
      <c r="AU567" s="1"/>
      <c r="AV567" s="1"/>
      <c r="AW567" s="1"/>
      <c r="AX567" s="1"/>
      <c r="AY567" s="1"/>
      <c r="AZ567" s="1"/>
      <c r="BA567" s="1"/>
      <c r="BB567" s="1"/>
      <c r="BC567" s="1"/>
      <c r="BD567" s="1"/>
      <c r="BE567" s="1"/>
      <c r="BF567" s="1"/>
      <c r="BG567" s="1"/>
    </row>
    <row r="568" spans="1:59" ht="27" x14ac:dyDescent="0.35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  <c r="AA568" s="1"/>
      <c r="AB568" s="1"/>
      <c r="AC568" s="1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  <c r="AS568" s="1"/>
      <c r="AT568" s="1"/>
      <c r="AU568" s="1"/>
      <c r="AV568" s="1"/>
      <c r="AW568" s="1"/>
      <c r="AX568" s="1"/>
      <c r="AY568" s="1"/>
      <c r="AZ568" s="1"/>
      <c r="BA568" s="1"/>
      <c r="BB568" s="1"/>
      <c r="BC568" s="1"/>
      <c r="BD568" s="1"/>
      <c r="BE568" s="1"/>
      <c r="BF568" s="1"/>
      <c r="BG568" s="1"/>
    </row>
    <row r="569" spans="1:59" ht="27" x14ac:dyDescent="0.35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  <c r="AA569" s="1"/>
      <c r="AB569" s="1"/>
      <c r="AC569" s="1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  <c r="AS569" s="1"/>
      <c r="AT569" s="1"/>
      <c r="AU569" s="1"/>
      <c r="AV569" s="1"/>
      <c r="AW569" s="1"/>
      <c r="AX569" s="1"/>
      <c r="AY569" s="1"/>
      <c r="AZ569" s="1"/>
      <c r="BA569" s="1"/>
      <c r="BB569" s="1"/>
      <c r="BC569" s="1"/>
      <c r="BD569" s="1"/>
      <c r="BE569" s="1"/>
      <c r="BF569" s="1"/>
      <c r="BG569" s="1"/>
    </row>
    <row r="570" spans="1:59" ht="27" x14ac:dyDescent="0.35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  <c r="AA570" s="1"/>
      <c r="AB570" s="1"/>
      <c r="AC570" s="1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  <c r="AS570" s="1"/>
      <c r="AT570" s="1"/>
      <c r="AU570" s="1"/>
      <c r="AV570" s="1"/>
      <c r="AW570" s="1"/>
      <c r="AX570" s="1"/>
      <c r="AY570" s="1"/>
      <c r="AZ570" s="1"/>
      <c r="BA570" s="1"/>
      <c r="BB570" s="1"/>
      <c r="BC570" s="1"/>
      <c r="BD570" s="1"/>
      <c r="BE570" s="1"/>
      <c r="BF570" s="1"/>
      <c r="BG570" s="1"/>
    </row>
    <row r="571" spans="1:59" ht="27" x14ac:dyDescent="0.35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  <c r="AA571" s="1"/>
      <c r="AB571" s="1"/>
      <c r="AC571" s="1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  <c r="AS571" s="1"/>
      <c r="AT571" s="1"/>
      <c r="AU571" s="1"/>
      <c r="AV571" s="1"/>
      <c r="AW571" s="1"/>
      <c r="AX571" s="1"/>
      <c r="AY571" s="1"/>
      <c r="AZ571" s="1"/>
      <c r="BA571" s="1"/>
      <c r="BB571" s="1"/>
      <c r="BC571" s="1"/>
      <c r="BD571" s="1"/>
      <c r="BE571" s="1"/>
      <c r="BF571" s="1"/>
      <c r="BG571" s="1"/>
    </row>
    <row r="572" spans="1:59" ht="27" x14ac:dyDescent="0.35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  <c r="AA572" s="1"/>
      <c r="AB572" s="1"/>
      <c r="AC572" s="1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  <c r="AS572" s="1"/>
      <c r="AT572" s="1"/>
      <c r="AU572" s="1"/>
      <c r="AV572" s="1"/>
      <c r="AW572" s="1"/>
      <c r="AX572" s="1"/>
      <c r="AY572" s="1"/>
      <c r="AZ572" s="1"/>
      <c r="BA572" s="1"/>
      <c r="BB572" s="1"/>
      <c r="BC572" s="1"/>
      <c r="BD572" s="1"/>
      <c r="BE572" s="1"/>
      <c r="BF572" s="1"/>
      <c r="BG572" s="1"/>
    </row>
    <row r="573" spans="1:59" ht="27" x14ac:dyDescent="0.35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  <c r="AA573" s="1"/>
      <c r="AB573" s="1"/>
      <c r="AC573" s="1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  <c r="AS573" s="1"/>
      <c r="AT573" s="1"/>
      <c r="AU573" s="1"/>
      <c r="AV573" s="1"/>
      <c r="AW573" s="1"/>
      <c r="AX573" s="1"/>
      <c r="AY573" s="1"/>
      <c r="AZ573" s="1"/>
      <c r="BA573" s="1"/>
      <c r="BB573" s="1"/>
      <c r="BC573" s="1"/>
      <c r="BD573" s="1"/>
      <c r="BE573" s="1"/>
      <c r="BF573" s="1"/>
      <c r="BG573" s="1"/>
    </row>
    <row r="574" spans="1:59" ht="27" x14ac:dyDescent="0.35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  <c r="AA574" s="1"/>
      <c r="AB574" s="1"/>
      <c r="AC574" s="1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  <c r="AS574" s="1"/>
      <c r="AT574" s="1"/>
      <c r="AU574" s="1"/>
      <c r="AV574" s="1"/>
      <c r="AW574" s="1"/>
      <c r="AX574" s="1"/>
      <c r="AY574" s="1"/>
      <c r="AZ574" s="1"/>
      <c r="BA574" s="1"/>
      <c r="BB574" s="1"/>
      <c r="BC574" s="1"/>
      <c r="BD574" s="1"/>
      <c r="BE574" s="1"/>
      <c r="BF574" s="1"/>
      <c r="BG574" s="1"/>
    </row>
    <row r="575" spans="1:59" ht="27" x14ac:dyDescent="0.35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  <c r="AA575" s="1"/>
      <c r="AB575" s="1"/>
      <c r="AC575" s="1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  <c r="AS575" s="1"/>
      <c r="AT575" s="1"/>
      <c r="AU575" s="1"/>
      <c r="AV575" s="1"/>
      <c r="AW575" s="1"/>
      <c r="AX575" s="1"/>
      <c r="AY575" s="1"/>
      <c r="AZ575" s="1"/>
      <c r="BA575" s="1"/>
      <c r="BB575" s="1"/>
      <c r="BC575" s="1"/>
      <c r="BD575" s="1"/>
      <c r="BE575" s="1"/>
      <c r="BF575" s="1"/>
      <c r="BG575" s="1"/>
    </row>
    <row r="576" spans="1:59" ht="27" x14ac:dyDescent="0.35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  <c r="AA576" s="1"/>
      <c r="AB576" s="1"/>
      <c r="AC576" s="1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  <c r="AS576" s="1"/>
      <c r="AT576" s="1"/>
      <c r="AU576" s="1"/>
      <c r="AV576" s="1"/>
      <c r="AW576" s="1"/>
      <c r="AX576" s="1"/>
      <c r="AY576" s="1"/>
      <c r="AZ576" s="1"/>
      <c r="BA576" s="1"/>
      <c r="BB576" s="1"/>
      <c r="BC576" s="1"/>
      <c r="BD576" s="1"/>
      <c r="BE576" s="1"/>
      <c r="BF576" s="1"/>
      <c r="BG576" s="1"/>
    </row>
    <row r="577" spans="1:59" ht="27" x14ac:dyDescent="0.35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  <c r="AA577" s="1"/>
      <c r="AB577" s="1"/>
      <c r="AC577" s="1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  <c r="AS577" s="1"/>
      <c r="AT577" s="1"/>
      <c r="AU577" s="1"/>
      <c r="AV577" s="1"/>
      <c r="AW577" s="1"/>
      <c r="AX577" s="1"/>
      <c r="AY577" s="1"/>
      <c r="AZ577" s="1"/>
      <c r="BA577" s="1"/>
      <c r="BB577" s="1"/>
      <c r="BC577" s="1"/>
      <c r="BD577" s="1"/>
      <c r="BE577" s="1"/>
      <c r="BF577" s="1"/>
      <c r="BG577" s="1"/>
    </row>
    <row r="578" spans="1:59" ht="27" x14ac:dyDescent="0.35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  <c r="AA578" s="1"/>
      <c r="AB578" s="1"/>
      <c r="AC578" s="1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  <c r="AS578" s="1"/>
      <c r="AT578" s="1"/>
      <c r="AU578" s="1"/>
      <c r="AV578" s="1"/>
      <c r="AW578" s="1"/>
      <c r="AX578" s="1"/>
      <c r="AY578" s="1"/>
      <c r="AZ578" s="1"/>
      <c r="BA578" s="1"/>
      <c r="BB578" s="1"/>
      <c r="BC578" s="1"/>
      <c r="BD578" s="1"/>
      <c r="BE578" s="1"/>
      <c r="BF578" s="1"/>
      <c r="BG578" s="1"/>
    </row>
    <row r="579" spans="1:59" ht="27" x14ac:dyDescent="0.35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  <c r="AA579" s="1"/>
      <c r="AB579" s="1"/>
      <c r="AC579" s="1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  <c r="AS579" s="1"/>
      <c r="AT579" s="1"/>
      <c r="AU579" s="1"/>
      <c r="AV579" s="1"/>
      <c r="AW579" s="1"/>
      <c r="AX579" s="1"/>
      <c r="AY579" s="1"/>
      <c r="AZ579" s="1"/>
      <c r="BA579" s="1"/>
      <c r="BB579" s="1"/>
      <c r="BC579" s="1"/>
      <c r="BD579" s="1"/>
      <c r="BE579" s="1"/>
      <c r="BF579" s="1"/>
      <c r="BG579" s="1"/>
    </row>
    <row r="580" spans="1:59" ht="27" x14ac:dyDescent="0.35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  <c r="AA580" s="1"/>
      <c r="AB580" s="1"/>
      <c r="AC580" s="1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  <c r="AS580" s="1"/>
      <c r="AT580" s="1"/>
      <c r="AU580" s="1"/>
      <c r="AV580" s="1"/>
      <c r="AW580" s="1"/>
      <c r="AX580" s="1"/>
      <c r="AY580" s="1"/>
      <c r="AZ580" s="1"/>
      <c r="BA580" s="1"/>
      <c r="BB580" s="1"/>
      <c r="BC580" s="1"/>
      <c r="BD580" s="1"/>
      <c r="BE580" s="1"/>
      <c r="BF580" s="1"/>
      <c r="BG580" s="1"/>
    </row>
    <row r="581" spans="1:59" ht="27" x14ac:dyDescent="0.35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  <c r="AA581" s="1"/>
      <c r="AB581" s="1"/>
      <c r="AC581" s="1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  <c r="AS581" s="1"/>
      <c r="AT581" s="1"/>
      <c r="AU581" s="1"/>
      <c r="AV581" s="1"/>
      <c r="AW581" s="1"/>
      <c r="AX581" s="1"/>
      <c r="AY581" s="1"/>
      <c r="AZ581" s="1"/>
      <c r="BA581" s="1"/>
      <c r="BB581" s="1"/>
      <c r="BC581" s="1"/>
      <c r="BD581" s="1"/>
      <c r="BE581" s="1"/>
      <c r="BF581" s="1"/>
      <c r="BG581" s="1"/>
    </row>
    <row r="582" spans="1:59" ht="27" x14ac:dyDescent="0.35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  <c r="AA582" s="1"/>
      <c r="AB582" s="1"/>
      <c r="AC582" s="1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  <c r="AS582" s="1"/>
      <c r="AT582" s="1"/>
      <c r="AU582" s="1"/>
      <c r="AV582" s="1"/>
      <c r="AW582" s="1"/>
      <c r="AX582" s="1"/>
      <c r="AY582" s="1"/>
      <c r="AZ582" s="1"/>
      <c r="BA582" s="1"/>
      <c r="BB582" s="1"/>
      <c r="BC582" s="1"/>
      <c r="BD582" s="1"/>
      <c r="BE582" s="1"/>
      <c r="BF582" s="1"/>
      <c r="BG582" s="1"/>
    </row>
    <row r="583" spans="1:59" ht="27" x14ac:dyDescent="0.35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  <c r="AA583" s="1"/>
      <c r="AB583" s="1"/>
      <c r="AC583" s="1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  <c r="AS583" s="1"/>
      <c r="AT583" s="1"/>
      <c r="AU583" s="1"/>
      <c r="AV583" s="1"/>
      <c r="AW583" s="1"/>
      <c r="AX583" s="1"/>
      <c r="AY583" s="1"/>
      <c r="AZ583" s="1"/>
      <c r="BA583" s="1"/>
      <c r="BB583" s="1"/>
      <c r="BC583" s="1"/>
      <c r="BD583" s="1"/>
      <c r="BE583" s="1"/>
      <c r="BF583" s="1"/>
      <c r="BG583" s="1"/>
    </row>
    <row r="584" spans="1:59" ht="27" x14ac:dyDescent="0.35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  <c r="AA584" s="1"/>
      <c r="AB584" s="1"/>
      <c r="AC584" s="1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  <c r="AS584" s="1"/>
      <c r="AT584" s="1"/>
      <c r="AU584" s="1"/>
      <c r="AV584" s="1"/>
      <c r="AW584" s="1"/>
      <c r="AX584" s="1"/>
      <c r="AY584" s="1"/>
      <c r="AZ584" s="1"/>
      <c r="BA584" s="1"/>
      <c r="BB584" s="1"/>
      <c r="BC584" s="1"/>
      <c r="BD584" s="1"/>
      <c r="BE584" s="1"/>
      <c r="BF584" s="1"/>
      <c r="BG584" s="1"/>
    </row>
    <row r="585" spans="1:59" ht="27" x14ac:dyDescent="0.35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  <c r="AA585" s="1"/>
      <c r="AB585" s="1"/>
      <c r="AC585" s="1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  <c r="AS585" s="1"/>
      <c r="AT585" s="1"/>
      <c r="AU585" s="1"/>
      <c r="AV585" s="1"/>
      <c r="AW585" s="1"/>
      <c r="AX585" s="1"/>
      <c r="AY585" s="1"/>
      <c r="AZ585" s="1"/>
      <c r="BA585" s="1"/>
      <c r="BB585" s="1"/>
      <c r="BC585" s="1"/>
      <c r="BD585" s="1"/>
      <c r="BE585" s="1"/>
      <c r="BF585" s="1"/>
      <c r="BG585" s="1"/>
    </row>
    <row r="586" spans="1:59" ht="27" x14ac:dyDescent="0.35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  <c r="AA586" s="1"/>
      <c r="AB586" s="1"/>
      <c r="AC586" s="1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  <c r="AS586" s="1"/>
      <c r="AT586" s="1"/>
      <c r="AU586" s="1"/>
      <c r="AV586" s="1"/>
      <c r="AW586" s="1"/>
      <c r="AX586" s="1"/>
      <c r="AY586" s="1"/>
      <c r="AZ586" s="1"/>
      <c r="BA586" s="1"/>
      <c r="BB586" s="1"/>
      <c r="BC586" s="1"/>
      <c r="BD586" s="1"/>
      <c r="BE586" s="1"/>
      <c r="BF586" s="1"/>
      <c r="BG586" s="1"/>
    </row>
    <row r="587" spans="1:59" ht="27" x14ac:dyDescent="0.35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  <c r="AA587" s="1"/>
      <c r="AB587" s="1"/>
      <c r="AC587" s="1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  <c r="AS587" s="1"/>
      <c r="AT587" s="1"/>
      <c r="AU587" s="1"/>
      <c r="AV587" s="1"/>
      <c r="AW587" s="1"/>
      <c r="AX587" s="1"/>
      <c r="AY587" s="1"/>
      <c r="AZ587" s="1"/>
      <c r="BA587" s="1"/>
      <c r="BB587" s="1"/>
      <c r="BC587" s="1"/>
      <c r="BD587" s="1"/>
      <c r="BE587" s="1"/>
      <c r="BF587" s="1"/>
      <c r="BG587" s="1"/>
    </row>
    <row r="588" spans="1:59" ht="27" x14ac:dyDescent="0.35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  <c r="AA588" s="1"/>
      <c r="AB588" s="1"/>
      <c r="AC588" s="1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  <c r="AS588" s="1"/>
      <c r="AT588" s="1"/>
      <c r="AU588" s="1"/>
      <c r="AV588" s="1"/>
      <c r="AW588" s="1"/>
      <c r="AX588" s="1"/>
      <c r="AY588" s="1"/>
      <c r="AZ588" s="1"/>
      <c r="BA588" s="1"/>
      <c r="BB588" s="1"/>
      <c r="BC588" s="1"/>
      <c r="BD588" s="1"/>
      <c r="BE588" s="1"/>
      <c r="BF588" s="1"/>
      <c r="BG588" s="1"/>
    </row>
    <row r="589" spans="1:59" ht="27" x14ac:dyDescent="0.35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  <c r="AA589" s="1"/>
      <c r="AB589" s="1"/>
      <c r="AC589" s="1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  <c r="AS589" s="1"/>
      <c r="AT589" s="1"/>
      <c r="AU589" s="1"/>
      <c r="AV589" s="1"/>
      <c r="AW589" s="1"/>
      <c r="AX589" s="1"/>
      <c r="AY589" s="1"/>
      <c r="AZ589" s="1"/>
      <c r="BA589" s="1"/>
      <c r="BB589" s="1"/>
      <c r="BC589" s="1"/>
      <c r="BD589" s="1"/>
      <c r="BE589" s="1"/>
      <c r="BF589" s="1"/>
      <c r="BG589" s="1"/>
    </row>
    <row r="590" spans="1:59" ht="27" x14ac:dyDescent="0.35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  <c r="AA590" s="1"/>
      <c r="AB590" s="1"/>
      <c r="AC590" s="1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  <c r="AS590" s="1"/>
      <c r="AT590" s="1"/>
      <c r="AU590" s="1"/>
      <c r="AV590" s="1"/>
      <c r="AW590" s="1"/>
      <c r="AX590" s="1"/>
      <c r="AY590" s="1"/>
      <c r="AZ590" s="1"/>
      <c r="BA590" s="1"/>
      <c r="BB590" s="1"/>
      <c r="BC590" s="1"/>
      <c r="BD590" s="1"/>
      <c r="BE590" s="1"/>
      <c r="BF590" s="1"/>
      <c r="BG590" s="1"/>
    </row>
    <row r="591" spans="1:59" ht="27" x14ac:dyDescent="0.35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  <c r="AA591" s="1"/>
      <c r="AB591" s="1"/>
      <c r="AC591" s="1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  <c r="AS591" s="1"/>
      <c r="AT591" s="1"/>
      <c r="AU591" s="1"/>
      <c r="AV591" s="1"/>
      <c r="AW591" s="1"/>
      <c r="AX591" s="1"/>
      <c r="AY591" s="1"/>
      <c r="AZ591" s="1"/>
      <c r="BA591" s="1"/>
      <c r="BB591" s="1"/>
      <c r="BC591" s="1"/>
      <c r="BD591" s="1"/>
      <c r="BE591" s="1"/>
      <c r="BF591" s="1"/>
      <c r="BG591" s="1"/>
    </row>
    <row r="592" spans="1:59" ht="27" x14ac:dyDescent="0.35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  <c r="AA592" s="1"/>
      <c r="AB592" s="1"/>
      <c r="AC592" s="1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  <c r="AS592" s="1"/>
      <c r="AT592" s="1"/>
      <c r="AU592" s="1"/>
      <c r="AV592" s="1"/>
      <c r="AW592" s="1"/>
      <c r="AX592" s="1"/>
      <c r="AY592" s="1"/>
      <c r="AZ592" s="1"/>
      <c r="BA592" s="1"/>
      <c r="BB592" s="1"/>
      <c r="BC592" s="1"/>
      <c r="BD592" s="1"/>
      <c r="BE592" s="1"/>
      <c r="BF592" s="1"/>
      <c r="BG592" s="1"/>
    </row>
    <row r="593" spans="1:59" ht="27" x14ac:dyDescent="0.35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  <c r="AA593" s="1"/>
      <c r="AB593" s="1"/>
      <c r="AC593" s="1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  <c r="AS593" s="1"/>
      <c r="AT593" s="1"/>
      <c r="AU593" s="1"/>
      <c r="AV593" s="1"/>
      <c r="AW593" s="1"/>
      <c r="AX593" s="1"/>
      <c r="AY593" s="1"/>
      <c r="AZ593" s="1"/>
      <c r="BA593" s="1"/>
      <c r="BB593" s="1"/>
      <c r="BC593" s="1"/>
      <c r="BD593" s="1"/>
      <c r="BE593" s="1"/>
      <c r="BF593" s="1"/>
      <c r="BG593" s="1"/>
    </row>
    <row r="594" spans="1:59" ht="27" x14ac:dyDescent="0.35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  <c r="AA594" s="1"/>
      <c r="AB594" s="1"/>
      <c r="AC594" s="1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  <c r="AS594" s="1"/>
      <c r="AT594" s="1"/>
      <c r="AU594" s="1"/>
      <c r="AV594" s="1"/>
      <c r="AW594" s="1"/>
      <c r="AX594" s="1"/>
      <c r="AY594" s="1"/>
      <c r="AZ594" s="1"/>
      <c r="BA594" s="1"/>
      <c r="BB594" s="1"/>
      <c r="BC594" s="1"/>
      <c r="BD594" s="1"/>
      <c r="BE594" s="1"/>
      <c r="BF594" s="1"/>
      <c r="BG594" s="1"/>
    </row>
    <row r="595" spans="1:59" ht="27" x14ac:dyDescent="0.35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  <c r="AA595" s="1"/>
      <c r="AB595" s="1"/>
      <c r="AC595" s="1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  <c r="AS595" s="1"/>
      <c r="AT595" s="1"/>
      <c r="AU595" s="1"/>
      <c r="AV595" s="1"/>
      <c r="AW595" s="1"/>
      <c r="AX595" s="1"/>
      <c r="AY595" s="1"/>
      <c r="AZ595" s="1"/>
      <c r="BA595" s="1"/>
      <c r="BB595" s="1"/>
      <c r="BC595" s="1"/>
      <c r="BD595" s="1"/>
      <c r="BE595" s="1"/>
      <c r="BF595" s="1"/>
      <c r="BG595" s="1"/>
    </row>
    <row r="596" spans="1:59" ht="27" x14ac:dyDescent="0.35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  <c r="AA596" s="1"/>
      <c r="AB596" s="1"/>
      <c r="AC596" s="1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  <c r="AS596" s="1"/>
      <c r="AT596" s="1"/>
      <c r="AU596" s="1"/>
      <c r="AV596" s="1"/>
      <c r="AW596" s="1"/>
      <c r="AX596" s="1"/>
      <c r="AY596" s="1"/>
      <c r="AZ596" s="1"/>
      <c r="BA596" s="1"/>
      <c r="BB596" s="1"/>
      <c r="BC596" s="1"/>
      <c r="BD596" s="1"/>
      <c r="BE596" s="1"/>
      <c r="BF596" s="1"/>
      <c r="BG596" s="1"/>
    </row>
    <row r="597" spans="1:59" ht="27" x14ac:dyDescent="0.35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  <c r="AA597" s="1"/>
      <c r="AB597" s="1"/>
      <c r="AC597" s="1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  <c r="AS597" s="1"/>
      <c r="AT597" s="1"/>
      <c r="AU597" s="1"/>
      <c r="AV597" s="1"/>
      <c r="AW597" s="1"/>
      <c r="AX597" s="1"/>
      <c r="AY597" s="1"/>
      <c r="AZ597" s="1"/>
      <c r="BA597" s="1"/>
      <c r="BB597" s="1"/>
      <c r="BC597" s="1"/>
      <c r="BD597" s="1"/>
      <c r="BE597" s="1"/>
      <c r="BF597" s="1"/>
      <c r="BG597" s="1"/>
    </row>
    <row r="598" spans="1:59" ht="27" x14ac:dyDescent="0.35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  <c r="AA598" s="1"/>
      <c r="AB598" s="1"/>
      <c r="AC598" s="1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  <c r="AS598" s="1"/>
      <c r="AT598" s="1"/>
      <c r="AU598" s="1"/>
      <c r="AV598" s="1"/>
      <c r="AW598" s="1"/>
      <c r="AX598" s="1"/>
      <c r="AY598" s="1"/>
      <c r="AZ598" s="1"/>
      <c r="BA598" s="1"/>
      <c r="BB598" s="1"/>
      <c r="BC598" s="1"/>
      <c r="BD598" s="1"/>
      <c r="BE598" s="1"/>
      <c r="BF598" s="1"/>
      <c r="BG598" s="1"/>
    </row>
    <row r="599" spans="1:59" ht="27" x14ac:dyDescent="0.35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  <c r="AA599" s="1"/>
      <c r="AB599" s="1"/>
      <c r="AC599" s="1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  <c r="AS599" s="1"/>
      <c r="AT599" s="1"/>
      <c r="AU599" s="1"/>
      <c r="AV599" s="1"/>
      <c r="AW599" s="1"/>
      <c r="AX599" s="1"/>
      <c r="AY599" s="1"/>
      <c r="AZ599" s="1"/>
      <c r="BA599" s="1"/>
      <c r="BB599" s="1"/>
      <c r="BC599" s="1"/>
      <c r="BD599" s="1"/>
      <c r="BE599" s="1"/>
      <c r="BF599" s="1"/>
      <c r="BG599" s="1"/>
    </row>
    <row r="600" spans="1:59" ht="27" x14ac:dyDescent="0.35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  <c r="AA600" s="1"/>
      <c r="AB600" s="1"/>
      <c r="AC600" s="1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  <c r="AS600" s="1"/>
      <c r="AT600" s="1"/>
      <c r="AU600" s="1"/>
      <c r="AV600" s="1"/>
      <c r="AW600" s="1"/>
      <c r="AX600" s="1"/>
      <c r="AY600" s="1"/>
      <c r="AZ600" s="1"/>
      <c r="BA600" s="1"/>
      <c r="BB600" s="1"/>
      <c r="BC600" s="1"/>
      <c r="BD600" s="1"/>
      <c r="BE600" s="1"/>
      <c r="BF600" s="1"/>
      <c r="BG600" s="1"/>
    </row>
    <row r="601" spans="1:59" ht="27" x14ac:dyDescent="0.35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  <c r="AA601" s="1"/>
      <c r="AB601" s="1"/>
      <c r="AC601" s="1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  <c r="AS601" s="1"/>
      <c r="AT601" s="1"/>
      <c r="AU601" s="1"/>
      <c r="AV601" s="1"/>
      <c r="AW601" s="1"/>
      <c r="AX601" s="1"/>
      <c r="AY601" s="1"/>
      <c r="AZ601" s="1"/>
      <c r="BA601" s="1"/>
      <c r="BB601" s="1"/>
      <c r="BC601" s="1"/>
      <c r="BD601" s="1"/>
      <c r="BE601" s="1"/>
      <c r="BF601" s="1"/>
      <c r="BG601" s="1"/>
    </row>
    <row r="602" spans="1:59" ht="27" x14ac:dyDescent="0.35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  <c r="AA602" s="1"/>
      <c r="AB602" s="1"/>
      <c r="AC602" s="1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  <c r="AS602" s="1"/>
      <c r="AT602" s="1"/>
      <c r="AU602" s="1"/>
      <c r="AV602" s="1"/>
      <c r="AW602" s="1"/>
      <c r="AX602" s="1"/>
      <c r="AY602" s="1"/>
      <c r="AZ602" s="1"/>
      <c r="BA602" s="1"/>
      <c r="BB602" s="1"/>
      <c r="BC602" s="1"/>
      <c r="BD602" s="1"/>
      <c r="BE602" s="1"/>
      <c r="BF602" s="1"/>
      <c r="BG602" s="1"/>
    </row>
    <row r="603" spans="1:59" ht="27" x14ac:dyDescent="0.35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  <c r="AA603" s="1"/>
      <c r="AB603" s="1"/>
      <c r="AC603" s="1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  <c r="AS603" s="1"/>
      <c r="AT603" s="1"/>
      <c r="AU603" s="1"/>
      <c r="AV603" s="1"/>
      <c r="AW603" s="1"/>
      <c r="AX603" s="1"/>
      <c r="AY603" s="1"/>
      <c r="AZ603" s="1"/>
      <c r="BA603" s="1"/>
      <c r="BB603" s="1"/>
      <c r="BC603" s="1"/>
      <c r="BD603" s="1"/>
      <c r="BE603" s="1"/>
      <c r="BF603" s="1"/>
      <c r="BG603" s="1"/>
    </row>
    <row r="604" spans="1:59" ht="27" x14ac:dyDescent="0.35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  <c r="AA604" s="1"/>
      <c r="AB604" s="1"/>
      <c r="AC604" s="1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  <c r="AS604" s="1"/>
      <c r="AT604" s="1"/>
      <c r="AU604" s="1"/>
      <c r="AV604" s="1"/>
      <c r="AW604" s="1"/>
      <c r="AX604" s="1"/>
      <c r="AY604" s="1"/>
      <c r="AZ604" s="1"/>
      <c r="BA604" s="1"/>
      <c r="BB604" s="1"/>
      <c r="BC604" s="1"/>
      <c r="BD604" s="1"/>
      <c r="BE604" s="1"/>
      <c r="BF604" s="1"/>
      <c r="BG604" s="1"/>
    </row>
    <row r="605" spans="1:59" ht="27" x14ac:dyDescent="0.35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  <c r="AA605" s="1"/>
      <c r="AB605" s="1"/>
      <c r="AC605" s="1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  <c r="AS605" s="1"/>
      <c r="AT605" s="1"/>
      <c r="AU605" s="1"/>
      <c r="AV605" s="1"/>
      <c r="AW605" s="1"/>
      <c r="AX605" s="1"/>
      <c r="AY605" s="1"/>
      <c r="AZ605" s="1"/>
      <c r="BA605" s="1"/>
      <c r="BB605" s="1"/>
      <c r="BC605" s="1"/>
      <c r="BD605" s="1"/>
      <c r="BE605" s="1"/>
      <c r="BF605" s="1"/>
      <c r="BG605" s="1"/>
    </row>
    <row r="606" spans="1:59" ht="27" x14ac:dyDescent="0.35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  <c r="AA606" s="1"/>
      <c r="AB606" s="1"/>
      <c r="AC606" s="1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  <c r="AS606" s="1"/>
      <c r="AT606" s="1"/>
      <c r="AU606" s="1"/>
      <c r="AV606" s="1"/>
      <c r="AW606" s="1"/>
      <c r="AX606" s="1"/>
      <c r="AY606" s="1"/>
      <c r="AZ606" s="1"/>
      <c r="BA606" s="1"/>
      <c r="BB606" s="1"/>
      <c r="BC606" s="1"/>
      <c r="BD606" s="1"/>
      <c r="BE606" s="1"/>
      <c r="BF606" s="1"/>
      <c r="BG606" s="1"/>
    </row>
    <row r="607" spans="1:59" ht="27" x14ac:dyDescent="0.35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  <c r="AA607" s="1"/>
      <c r="AB607" s="1"/>
      <c r="AC607" s="1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  <c r="AS607" s="1"/>
      <c r="AT607" s="1"/>
      <c r="AU607" s="1"/>
      <c r="AV607" s="1"/>
      <c r="AW607" s="1"/>
      <c r="AX607" s="1"/>
      <c r="AY607" s="1"/>
      <c r="AZ607" s="1"/>
      <c r="BA607" s="1"/>
      <c r="BB607" s="1"/>
      <c r="BC607" s="1"/>
      <c r="BD607" s="1"/>
      <c r="BE607" s="1"/>
      <c r="BF607" s="1"/>
      <c r="BG607" s="1"/>
    </row>
    <row r="608" spans="1:59" ht="27" x14ac:dyDescent="0.35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  <c r="AA608" s="1"/>
      <c r="AB608" s="1"/>
      <c r="AC608" s="1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  <c r="AS608" s="1"/>
      <c r="AT608" s="1"/>
      <c r="AU608" s="1"/>
      <c r="AV608" s="1"/>
      <c r="AW608" s="1"/>
      <c r="AX608" s="1"/>
      <c r="AY608" s="1"/>
      <c r="AZ608" s="1"/>
      <c r="BA608" s="1"/>
      <c r="BB608" s="1"/>
      <c r="BC608" s="1"/>
      <c r="BD608" s="1"/>
      <c r="BE608" s="1"/>
      <c r="BF608" s="1"/>
      <c r="BG608" s="1"/>
    </row>
    <row r="609" spans="1:59" ht="27" x14ac:dyDescent="0.35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  <c r="AA609" s="1"/>
      <c r="AB609" s="1"/>
      <c r="AC609" s="1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  <c r="AS609" s="1"/>
      <c r="AT609" s="1"/>
      <c r="AU609" s="1"/>
      <c r="AV609" s="1"/>
      <c r="AW609" s="1"/>
      <c r="AX609" s="1"/>
      <c r="AY609" s="1"/>
      <c r="AZ609" s="1"/>
      <c r="BA609" s="1"/>
      <c r="BB609" s="1"/>
      <c r="BC609" s="1"/>
      <c r="BD609" s="1"/>
      <c r="BE609" s="1"/>
      <c r="BF609" s="1"/>
      <c r="BG609" s="1"/>
    </row>
    <row r="610" spans="1:59" ht="27" x14ac:dyDescent="0.35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  <c r="AA610" s="1"/>
      <c r="AB610" s="1"/>
      <c r="AC610" s="1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  <c r="AS610" s="1"/>
      <c r="AT610" s="1"/>
      <c r="AU610" s="1"/>
      <c r="AV610" s="1"/>
      <c r="AW610" s="1"/>
      <c r="AX610" s="1"/>
      <c r="AY610" s="1"/>
      <c r="AZ610" s="1"/>
      <c r="BA610" s="1"/>
      <c r="BB610" s="1"/>
      <c r="BC610" s="1"/>
      <c r="BD610" s="1"/>
      <c r="BE610" s="1"/>
      <c r="BF610" s="1"/>
      <c r="BG610" s="1"/>
    </row>
    <row r="611" spans="1:59" ht="27" x14ac:dyDescent="0.35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  <c r="AA611" s="1"/>
      <c r="AB611" s="1"/>
      <c r="AC611" s="1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  <c r="AS611" s="1"/>
      <c r="AT611" s="1"/>
      <c r="AU611" s="1"/>
      <c r="AV611" s="1"/>
      <c r="AW611" s="1"/>
      <c r="AX611" s="1"/>
      <c r="AY611" s="1"/>
      <c r="AZ611" s="1"/>
      <c r="BA611" s="1"/>
      <c r="BB611" s="1"/>
      <c r="BC611" s="1"/>
      <c r="BD611" s="1"/>
      <c r="BE611" s="1"/>
      <c r="BF611" s="1"/>
      <c r="BG611" s="1"/>
    </row>
    <row r="612" spans="1:59" ht="27" x14ac:dyDescent="0.35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  <c r="AA612" s="1"/>
      <c r="AB612" s="1"/>
      <c r="AC612" s="1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  <c r="AS612" s="1"/>
      <c r="AT612" s="1"/>
      <c r="AU612" s="1"/>
      <c r="AV612" s="1"/>
      <c r="AW612" s="1"/>
      <c r="AX612" s="1"/>
      <c r="AY612" s="1"/>
      <c r="AZ612" s="1"/>
      <c r="BA612" s="1"/>
      <c r="BB612" s="1"/>
      <c r="BC612" s="1"/>
      <c r="BD612" s="1"/>
      <c r="BE612" s="1"/>
      <c r="BF612" s="1"/>
      <c r="BG612" s="1"/>
    </row>
    <row r="613" spans="1:59" ht="27" x14ac:dyDescent="0.35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  <c r="AA613" s="1"/>
      <c r="AB613" s="1"/>
      <c r="AC613" s="1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  <c r="AS613" s="1"/>
      <c r="AT613" s="1"/>
      <c r="AU613" s="1"/>
      <c r="AV613" s="1"/>
      <c r="AW613" s="1"/>
      <c r="AX613" s="1"/>
      <c r="AY613" s="1"/>
      <c r="AZ613" s="1"/>
      <c r="BA613" s="1"/>
      <c r="BB613" s="1"/>
      <c r="BC613" s="1"/>
      <c r="BD613" s="1"/>
      <c r="BE613" s="1"/>
      <c r="BF613" s="1"/>
      <c r="BG613" s="1"/>
    </row>
    <row r="614" spans="1:59" ht="27" x14ac:dyDescent="0.35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  <c r="AA614" s="1"/>
      <c r="AB614" s="1"/>
      <c r="AC614" s="1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  <c r="AS614" s="1"/>
      <c r="AT614" s="1"/>
      <c r="AU614" s="1"/>
      <c r="AV614" s="1"/>
      <c r="AW614" s="1"/>
      <c r="AX614" s="1"/>
      <c r="AY614" s="1"/>
      <c r="AZ614" s="1"/>
      <c r="BA614" s="1"/>
      <c r="BB614" s="1"/>
      <c r="BC614" s="1"/>
      <c r="BD614" s="1"/>
      <c r="BE614" s="1"/>
      <c r="BF614" s="1"/>
      <c r="BG614" s="1"/>
    </row>
    <row r="615" spans="1:59" ht="27" x14ac:dyDescent="0.35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  <c r="AA615" s="1"/>
      <c r="AB615" s="1"/>
      <c r="AC615" s="1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  <c r="AS615" s="1"/>
      <c r="AT615" s="1"/>
      <c r="AU615" s="1"/>
      <c r="AV615" s="1"/>
      <c r="AW615" s="1"/>
      <c r="AX615" s="1"/>
      <c r="AY615" s="1"/>
      <c r="AZ615" s="1"/>
      <c r="BA615" s="1"/>
      <c r="BB615" s="1"/>
      <c r="BC615" s="1"/>
      <c r="BD615" s="1"/>
      <c r="BE615" s="1"/>
      <c r="BF615" s="1"/>
      <c r="BG615" s="1"/>
    </row>
    <row r="616" spans="1:59" ht="27" x14ac:dyDescent="0.35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  <c r="AA616" s="1"/>
      <c r="AB616" s="1"/>
      <c r="AC616" s="1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  <c r="AS616" s="1"/>
      <c r="AT616" s="1"/>
      <c r="AU616" s="1"/>
      <c r="AV616" s="1"/>
      <c r="AW616" s="1"/>
      <c r="AX616" s="1"/>
      <c r="AY616" s="1"/>
      <c r="AZ616" s="1"/>
      <c r="BA616" s="1"/>
      <c r="BB616" s="1"/>
      <c r="BC616" s="1"/>
      <c r="BD616" s="1"/>
      <c r="BE616" s="1"/>
      <c r="BF616" s="1"/>
      <c r="BG616" s="1"/>
    </row>
    <row r="617" spans="1:59" ht="27" x14ac:dyDescent="0.35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  <c r="AA617" s="1"/>
      <c r="AB617" s="1"/>
      <c r="AC617" s="1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  <c r="AS617" s="1"/>
      <c r="AT617" s="1"/>
      <c r="AU617" s="1"/>
      <c r="AV617" s="1"/>
      <c r="AW617" s="1"/>
      <c r="AX617" s="1"/>
      <c r="AY617" s="1"/>
      <c r="AZ617" s="1"/>
      <c r="BA617" s="1"/>
      <c r="BB617" s="1"/>
      <c r="BC617" s="1"/>
      <c r="BD617" s="1"/>
      <c r="BE617" s="1"/>
      <c r="BF617" s="1"/>
      <c r="BG617" s="1"/>
    </row>
    <row r="618" spans="1:59" ht="27" x14ac:dyDescent="0.35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  <c r="AA618" s="1"/>
      <c r="AB618" s="1"/>
      <c r="AC618" s="1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  <c r="AS618" s="1"/>
      <c r="AT618" s="1"/>
      <c r="AU618" s="1"/>
      <c r="AV618" s="1"/>
      <c r="AW618" s="1"/>
      <c r="AX618" s="1"/>
      <c r="AY618" s="1"/>
      <c r="AZ618" s="1"/>
      <c r="BA618" s="1"/>
      <c r="BB618" s="1"/>
      <c r="BC618" s="1"/>
      <c r="BD618" s="1"/>
      <c r="BE618" s="1"/>
      <c r="BF618" s="1"/>
      <c r="BG618" s="1"/>
    </row>
    <row r="619" spans="1:59" ht="27" x14ac:dyDescent="0.35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  <c r="AA619" s="1"/>
      <c r="AB619" s="1"/>
      <c r="AC619" s="1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  <c r="AS619" s="1"/>
      <c r="AT619" s="1"/>
      <c r="AU619" s="1"/>
      <c r="AV619" s="1"/>
      <c r="AW619" s="1"/>
      <c r="AX619" s="1"/>
      <c r="AY619" s="1"/>
      <c r="AZ619" s="1"/>
      <c r="BA619" s="1"/>
      <c r="BB619" s="1"/>
      <c r="BC619" s="1"/>
      <c r="BD619" s="1"/>
      <c r="BE619" s="1"/>
      <c r="BF619" s="1"/>
      <c r="BG619" s="1"/>
    </row>
    <row r="620" spans="1:59" ht="27" x14ac:dyDescent="0.35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  <c r="AA620" s="1"/>
      <c r="AB620" s="1"/>
      <c r="AC620" s="1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  <c r="AS620" s="1"/>
      <c r="AT620" s="1"/>
      <c r="AU620" s="1"/>
      <c r="AV620" s="1"/>
      <c r="AW620" s="1"/>
      <c r="AX620" s="1"/>
      <c r="AY620" s="1"/>
      <c r="AZ620" s="1"/>
      <c r="BA620" s="1"/>
      <c r="BB620" s="1"/>
      <c r="BC620" s="1"/>
      <c r="BD620" s="1"/>
      <c r="BE620" s="1"/>
      <c r="BF620" s="1"/>
      <c r="BG620" s="1"/>
    </row>
    <row r="621" spans="1:59" ht="27" x14ac:dyDescent="0.35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  <c r="AA621" s="1"/>
      <c r="AB621" s="1"/>
      <c r="AC621" s="1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  <c r="AS621" s="1"/>
      <c r="AT621" s="1"/>
      <c r="AU621" s="1"/>
      <c r="AV621" s="1"/>
      <c r="AW621" s="1"/>
      <c r="AX621" s="1"/>
      <c r="AY621" s="1"/>
      <c r="AZ621" s="1"/>
      <c r="BA621" s="1"/>
      <c r="BB621" s="1"/>
      <c r="BC621" s="1"/>
      <c r="BD621" s="1"/>
      <c r="BE621" s="1"/>
      <c r="BF621" s="1"/>
      <c r="BG621" s="1"/>
    </row>
    <row r="622" spans="1:59" ht="27" x14ac:dyDescent="0.35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  <c r="AA622" s="1"/>
      <c r="AB622" s="1"/>
      <c r="AC622" s="1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  <c r="AS622" s="1"/>
      <c r="AT622" s="1"/>
      <c r="AU622" s="1"/>
      <c r="AV622" s="1"/>
      <c r="AW622" s="1"/>
      <c r="AX622" s="1"/>
      <c r="AY622" s="1"/>
      <c r="AZ622" s="1"/>
      <c r="BA622" s="1"/>
      <c r="BB622" s="1"/>
      <c r="BC622" s="1"/>
      <c r="BD622" s="1"/>
      <c r="BE622" s="1"/>
      <c r="BF622" s="1"/>
      <c r="BG622" s="1"/>
    </row>
    <row r="623" spans="1:59" ht="27" x14ac:dyDescent="0.35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  <c r="AA623" s="1"/>
      <c r="AB623" s="1"/>
      <c r="AC623" s="1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  <c r="AS623" s="1"/>
      <c r="AT623" s="1"/>
      <c r="AU623" s="1"/>
      <c r="AV623" s="1"/>
      <c r="AW623" s="1"/>
      <c r="AX623" s="1"/>
      <c r="AY623" s="1"/>
      <c r="AZ623" s="1"/>
      <c r="BA623" s="1"/>
      <c r="BB623" s="1"/>
      <c r="BC623" s="1"/>
      <c r="BD623" s="1"/>
      <c r="BE623" s="1"/>
      <c r="BF623" s="1"/>
      <c r="BG623" s="1"/>
    </row>
    <row r="624" spans="1:59" ht="27" x14ac:dyDescent="0.35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  <c r="AA624" s="1"/>
      <c r="AB624" s="1"/>
      <c r="AC624" s="1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  <c r="AS624" s="1"/>
      <c r="AT624" s="1"/>
      <c r="AU624" s="1"/>
      <c r="AV624" s="1"/>
      <c r="AW624" s="1"/>
      <c r="AX624" s="1"/>
      <c r="AY624" s="1"/>
      <c r="AZ624" s="1"/>
      <c r="BA624" s="1"/>
      <c r="BB624" s="1"/>
      <c r="BC624" s="1"/>
      <c r="BD624" s="1"/>
      <c r="BE624" s="1"/>
      <c r="BF624" s="1"/>
      <c r="BG624" s="1"/>
    </row>
    <row r="625" spans="1:59" ht="27" x14ac:dyDescent="0.35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  <c r="AA625" s="1"/>
      <c r="AB625" s="1"/>
      <c r="AC625" s="1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  <c r="AS625" s="1"/>
      <c r="AT625" s="1"/>
      <c r="AU625" s="1"/>
      <c r="AV625" s="1"/>
      <c r="AW625" s="1"/>
      <c r="AX625" s="1"/>
      <c r="AY625" s="1"/>
      <c r="AZ625" s="1"/>
      <c r="BA625" s="1"/>
      <c r="BB625" s="1"/>
      <c r="BC625" s="1"/>
      <c r="BD625" s="1"/>
      <c r="BE625" s="1"/>
      <c r="BF625" s="1"/>
      <c r="BG625" s="1"/>
    </row>
    <row r="626" spans="1:59" ht="27" x14ac:dyDescent="0.35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  <c r="AA626" s="1"/>
      <c r="AB626" s="1"/>
      <c r="AC626" s="1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  <c r="AS626" s="1"/>
      <c r="AT626" s="1"/>
      <c r="AU626" s="1"/>
      <c r="AV626" s="1"/>
      <c r="AW626" s="1"/>
      <c r="AX626" s="1"/>
      <c r="AY626" s="1"/>
      <c r="AZ626" s="1"/>
      <c r="BA626" s="1"/>
      <c r="BB626" s="1"/>
      <c r="BC626" s="1"/>
      <c r="BD626" s="1"/>
      <c r="BE626" s="1"/>
      <c r="BF626" s="1"/>
      <c r="BG626" s="1"/>
    </row>
    <row r="627" spans="1:59" ht="27" x14ac:dyDescent="0.35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  <c r="AA627" s="1"/>
      <c r="AB627" s="1"/>
      <c r="AC627" s="1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  <c r="AS627" s="1"/>
      <c r="AT627" s="1"/>
      <c r="AU627" s="1"/>
      <c r="AV627" s="1"/>
      <c r="AW627" s="1"/>
      <c r="AX627" s="1"/>
      <c r="AY627" s="1"/>
      <c r="AZ627" s="1"/>
      <c r="BA627" s="1"/>
      <c r="BB627" s="1"/>
      <c r="BC627" s="1"/>
      <c r="BD627" s="1"/>
      <c r="BE627" s="1"/>
      <c r="BF627" s="1"/>
      <c r="BG627" s="1"/>
    </row>
    <row r="628" spans="1:59" ht="27" x14ac:dyDescent="0.35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  <c r="AA628" s="1"/>
      <c r="AB628" s="1"/>
      <c r="AC628" s="1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  <c r="AS628" s="1"/>
      <c r="AT628" s="1"/>
      <c r="AU628" s="1"/>
      <c r="AV628" s="1"/>
      <c r="AW628" s="1"/>
      <c r="AX628" s="1"/>
      <c r="AY628" s="1"/>
      <c r="AZ628" s="1"/>
      <c r="BA628" s="1"/>
      <c r="BB628" s="1"/>
      <c r="BC628" s="1"/>
      <c r="BD628" s="1"/>
      <c r="BE628" s="1"/>
      <c r="BF628" s="1"/>
      <c r="BG628" s="1"/>
    </row>
    <row r="629" spans="1:59" ht="27" x14ac:dyDescent="0.35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  <c r="AA629" s="1"/>
      <c r="AB629" s="1"/>
      <c r="AC629" s="1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  <c r="AS629" s="1"/>
      <c r="AT629" s="1"/>
      <c r="AU629" s="1"/>
      <c r="AV629" s="1"/>
      <c r="AW629" s="1"/>
      <c r="AX629" s="1"/>
      <c r="AY629" s="1"/>
      <c r="AZ629" s="1"/>
      <c r="BA629" s="1"/>
      <c r="BB629" s="1"/>
      <c r="BC629" s="1"/>
      <c r="BD629" s="1"/>
      <c r="BE629" s="1"/>
      <c r="BF629" s="1"/>
      <c r="BG629" s="1"/>
    </row>
    <row r="630" spans="1:59" ht="27" x14ac:dyDescent="0.35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  <c r="AA630" s="1"/>
      <c r="AB630" s="1"/>
      <c r="AC630" s="1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  <c r="AS630" s="1"/>
      <c r="AT630" s="1"/>
      <c r="AU630" s="1"/>
      <c r="AV630" s="1"/>
      <c r="AW630" s="1"/>
      <c r="AX630" s="1"/>
      <c r="AY630" s="1"/>
      <c r="AZ630" s="1"/>
      <c r="BA630" s="1"/>
      <c r="BB630" s="1"/>
      <c r="BC630" s="1"/>
      <c r="BD630" s="1"/>
      <c r="BE630" s="1"/>
      <c r="BF630" s="1"/>
      <c r="BG630" s="1"/>
    </row>
    <row r="631" spans="1:59" ht="27" x14ac:dyDescent="0.35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  <c r="AA631" s="1"/>
      <c r="AB631" s="1"/>
      <c r="AC631" s="1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  <c r="AS631" s="1"/>
      <c r="AT631" s="1"/>
      <c r="AU631" s="1"/>
      <c r="AV631" s="1"/>
      <c r="AW631" s="1"/>
      <c r="AX631" s="1"/>
      <c r="AY631" s="1"/>
      <c r="AZ631" s="1"/>
      <c r="BA631" s="1"/>
      <c r="BB631" s="1"/>
      <c r="BC631" s="1"/>
      <c r="BD631" s="1"/>
      <c r="BE631" s="1"/>
      <c r="BF631" s="1"/>
      <c r="BG631" s="1"/>
    </row>
    <row r="632" spans="1:59" ht="27" x14ac:dyDescent="0.35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  <c r="AA632" s="1"/>
      <c r="AB632" s="1"/>
      <c r="AC632" s="1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  <c r="AS632" s="1"/>
      <c r="AT632" s="1"/>
      <c r="AU632" s="1"/>
      <c r="AV632" s="1"/>
      <c r="AW632" s="1"/>
      <c r="AX632" s="1"/>
      <c r="AY632" s="1"/>
      <c r="AZ632" s="1"/>
      <c r="BA632" s="1"/>
      <c r="BB632" s="1"/>
      <c r="BC632" s="1"/>
      <c r="BD632" s="1"/>
      <c r="BE632" s="1"/>
      <c r="BF632" s="1"/>
      <c r="BG632" s="1"/>
    </row>
    <row r="633" spans="1:59" ht="27" x14ac:dyDescent="0.35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  <c r="AA633" s="1"/>
      <c r="AB633" s="1"/>
      <c r="AC633" s="1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  <c r="AS633" s="1"/>
      <c r="AT633" s="1"/>
      <c r="AU633" s="1"/>
      <c r="AV633" s="1"/>
      <c r="AW633" s="1"/>
      <c r="AX633" s="1"/>
      <c r="AY633" s="1"/>
      <c r="AZ633" s="1"/>
      <c r="BA633" s="1"/>
      <c r="BB633" s="1"/>
      <c r="BC633" s="1"/>
      <c r="BD633" s="1"/>
      <c r="BE633" s="1"/>
      <c r="BF633" s="1"/>
      <c r="BG633" s="1"/>
    </row>
    <row r="634" spans="1:59" ht="27" x14ac:dyDescent="0.35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  <c r="AA634" s="1"/>
      <c r="AB634" s="1"/>
      <c r="AC634" s="1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  <c r="AS634" s="1"/>
      <c r="AT634" s="1"/>
      <c r="AU634" s="1"/>
      <c r="AV634" s="1"/>
      <c r="AW634" s="1"/>
      <c r="AX634" s="1"/>
      <c r="AY634" s="1"/>
      <c r="AZ634" s="1"/>
      <c r="BA634" s="1"/>
      <c r="BB634" s="1"/>
      <c r="BC634" s="1"/>
      <c r="BD634" s="1"/>
      <c r="BE634" s="1"/>
      <c r="BF634" s="1"/>
      <c r="BG634" s="1"/>
    </row>
    <row r="635" spans="1:59" ht="27" x14ac:dyDescent="0.35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  <c r="AA635" s="1"/>
      <c r="AB635" s="1"/>
      <c r="AC635" s="1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  <c r="AS635" s="1"/>
      <c r="AT635" s="1"/>
      <c r="AU635" s="1"/>
      <c r="AV635" s="1"/>
      <c r="AW635" s="1"/>
      <c r="AX635" s="1"/>
      <c r="AY635" s="1"/>
      <c r="AZ635" s="1"/>
      <c r="BA635" s="1"/>
      <c r="BB635" s="1"/>
      <c r="BC635" s="1"/>
      <c r="BD635" s="1"/>
      <c r="BE635" s="1"/>
      <c r="BF635" s="1"/>
      <c r="BG635" s="1"/>
    </row>
    <row r="636" spans="1:59" ht="27" x14ac:dyDescent="0.35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  <c r="AA636" s="1"/>
      <c r="AB636" s="1"/>
      <c r="AC636" s="1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  <c r="AS636" s="1"/>
      <c r="AT636" s="1"/>
      <c r="AU636" s="1"/>
      <c r="AV636" s="1"/>
      <c r="AW636" s="1"/>
      <c r="AX636" s="1"/>
      <c r="AY636" s="1"/>
      <c r="AZ636" s="1"/>
      <c r="BA636" s="1"/>
      <c r="BB636" s="1"/>
      <c r="BC636" s="1"/>
      <c r="BD636" s="1"/>
      <c r="BE636" s="1"/>
      <c r="BF636" s="1"/>
      <c r="BG636" s="1"/>
    </row>
    <row r="637" spans="1:59" ht="27" x14ac:dyDescent="0.35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  <c r="AA637" s="1"/>
      <c r="AB637" s="1"/>
      <c r="AC637" s="1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  <c r="AS637" s="1"/>
      <c r="AT637" s="1"/>
      <c r="AU637" s="1"/>
      <c r="AV637" s="1"/>
      <c r="AW637" s="1"/>
      <c r="AX637" s="1"/>
      <c r="AY637" s="1"/>
      <c r="AZ637" s="1"/>
      <c r="BA637" s="1"/>
      <c r="BB637" s="1"/>
      <c r="BC637" s="1"/>
      <c r="BD637" s="1"/>
      <c r="BE637" s="1"/>
      <c r="BF637" s="1"/>
      <c r="BG637" s="1"/>
    </row>
    <row r="638" spans="1:59" ht="27" x14ac:dyDescent="0.35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  <c r="AA638" s="1"/>
      <c r="AB638" s="1"/>
      <c r="AC638" s="1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  <c r="AS638" s="1"/>
      <c r="AT638" s="1"/>
      <c r="AU638" s="1"/>
      <c r="AV638" s="1"/>
      <c r="AW638" s="1"/>
      <c r="AX638" s="1"/>
      <c r="AY638" s="1"/>
      <c r="AZ638" s="1"/>
      <c r="BA638" s="1"/>
      <c r="BB638" s="1"/>
      <c r="BC638" s="1"/>
      <c r="BD638" s="1"/>
      <c r="BE638" s="1"/>
      <c r="BF638" s="1"/>
      <c r="BG638" s="1"/>
    </row>
    <row r="639" spans="1:59" ht="27" x14ac:dyDescent="0.35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  <c r="AA639" s="1"/>
      <c r="AB639" s="1"/>
      <c r="AC639" s="1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  <c r="AS639" s="1"/>
      <c r="AT639" s="1"/>
      <c r="AU639" s="1"/>
      <c r="AV639" s="1"/>
      <c r="AW639" s="1"/>
      <c r="AX639" s="1"/>
      <c r="AY639" s="1"/>
      <c r="AZ639" s="1"/>
      <c r="BA639" s="1"/>
      <c r="BB639" s="1"/>
      <c r="BC639" s="1"/>
      <c r="BD639" s="1"/>
      <c r="BE639" s="1"/>
      <c r="BF639" s="1"/>
      <c r="BG639" s="1"/>
    </row>
    <row r="640" spans="1:59" ht="27" x14ac:dyDescent="0.35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  <c r="AA640" s="1"/>
      <c r="AB640" s="1"/>
      <c r="AC640" s="1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  <c r="AS640" s="1"/>
      <c r="AT640" s="1"/>
      <c r="AU640" s="1"/>
      <c r="AV640" s="1"/>
      <c r="AW640" s="1"/>
      <c r="AX640" s="1"/>
      <c r="AY640" s="1"/>
      <c r="AZ640" s="1"/>
      <c r="BA640" s="1"/>
      <c r="BB640" s="1"/>
      <c r="BC640" s="1"/>
      <c r="BD640" s="1"/>
      <c r="BE640" s="1"/>
      <c r="BF640" s="1"/>
      <c r="BG640" s="1"/>
    </row>
    <row r="641" spans="1:59" ht="27" x14ac:dyDescent="0.35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  <c r="AA641" s="1"/>
      <c r="AB641" s="1"/>
      <c r="AC641" s="1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  <c r="AS641" s="1"/>
      <c r="AT641" s="1"/>
      <c r="AU641" s="1"/>
      <c r="AV641" s="1"/>
      <c r="AW641" s="1"/>
      <c r="AX641" s="1"/>
      <c r="AY641" s="1"/>
      <c r="AZ641" s="1"/>
      <c r="BA641" s="1"/>
      <c r="BB641" s="1"/>
      <c r="BC641" s="1"/>
      <c r="BD641" s="1"/>
      <c r="BE641" s="1"/>
      <c r="BF641" s="1"/>
      <c r="BG641" s="1"/>
    </row>
    <row r="642" spans="1:59" ht="27" x14ac:dyDescent="0.35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  <c r="AA642" s="1"/>
      <c r="AB642" s="1"/>
      <c r="AC642" s="1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  <c r="AS642" s="1"/>
      <c r="AT642" s="1"/>
      <c r="AU642" s="1"/>
      <c r="AV642" s="1"/>
      <c r="AW642" s="1"/>
      <c r="AX642" s="1"/>
      <c r="AY642" s="1"/>
      <c r="AZ642" s="1"/>
      <c r="BA642" s="1"/>
      <c r="BB642" s="1"/>
      <c r="BC642" s="1"/>
      <c r="BD642" s="1"/>
      <c r="BE642" s="1"/>
      <c r="BF642" s="1"/>
      <c r="BG642" s="1"/>
    </row>
    <row r="643" spans="1:59" ht="27" x14ac:dyDescent="0.35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  <c r="AA643" s="1"/>
      <c r="AB643" s="1"/>
      <c r="AC643" s="1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  <c r="AS643" s="1"/>
      <c r="AT643" s="1"/>
      <c r="AU643" s="1"/>
      <c r="AV643" s="1"/>
      <c r="AW643" s="1"/>
      <c r="AX643" s="1"/>
      <c r="AY643" s="1"/>
      <c r="AZ643" s="1"/>
      <c r="BA643" s="1"/>
      <c r="BB643" s="1"/>
      <c r="BC643" s="1"/>
      <c r="BD643" s="1"/>
      <c r="BE643" s="1"/>
      <c r="BF643" s="1"/>
      <c r="BG643" s="1"/>
    </row>
    <row r="644" spans="1:59" ht="27" x14ac:dyDescent="0.35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  <c r="AA644" s="1"/>
      <c r="AB644" s="1"/>
      <c r="AC644" s="1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  <c r="AS644" s="1"/>
      <c r="AT644" s="1"/>
      <c r="AU644" s="1"/>
      <c r="AV644" s="1"/>
      <c r="AW644" s="1"/>
      <c r="AX644" s="1"/>
      <c r="AY644" s="1"/>
      <c r="AZ644" s="1"/>
      <c r="BA644" s="1"/>
      <c r="BB644" s="1"/>
      <c r="BC644" s="1"/>
      <c r="BD644" s="1"/>
      <c r="BE644" s="1"/>
      <c r="BF644" s="1"/>
      <c r="BG644" s="1"/>
    </row>
    <row r="645" spans="1:59" ht="27" x14ac:dyDescent="0.35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  <c r="AA645" s="1"/>
      <c r="AB645" s="1"/>
      <c r="AC645" s="1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  <c r="AS645" s="1"/>
      <c r="AT645" s="1"/>
      <c r="AU645" s="1"/>
      <c r="AV645" s="1"/>
      <c r="AW645" s="1"/>
      <c r="AX645" s="1"/>
      <c r="AY645" s="1"/>
      <c r="AZ645" s="1"/>
      <c r="BA645" s="1"/>
      <c r="BB645" s="1"/>
      <c r="BC645" s="1"/>
      <c r="BD645" s="1"/>
      <c r="BE645" s="1"/>
      <c r="BF645" s="1"/>
      <c r="BG645" s="1"/>
    </row>
    <row r="646" spans="1:59" ht="27" x14ac:dyDescent="0.35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  <c r="AA646" s="1"/>
      <c r="AB646" s="1"/>
      <c r="AC646" s="1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  <c r="AS646" s="1"/>
      <c r="AT646" s="1"/>
      <c r="AU646" s="1"/>
      <c r="AV646" s="1"/>
      <c r="AW646" s="1"/>
      <c r="AX646" s="1"/>
      <c r="AY646" s="1"/>
      <c r="AZ646" s="1"/>
      <c r="BA646" s="1"/>
      <c r="BB646" s="1"/>
      <c r="BC646" s="1"/>
      <c r="BD646" s="1"/>
      <c r="BE646" s="1"/>
      <c r="BF646" s="1"/>
      <c r="BG646" s="1"/>
    </row>
    <row r="647" spans="1:59" ht="27" x14ac:dyDescent="0.35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  <c r="AA647" s="1"/>
      <c r="AB647" s="1"/>
      <c r="AC647" s="1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  <c r="AS647" s="1"/>
      <c r="AT647" s="1"/>
      <c r="AU647" s="1"/>
      <c r="AV647" s="1"/>
      <c r="AW647" s="1"/>
      <c r="AX647" s="1"/>
      <c r="AY647" s="1"/>
      <c r="AZ647" s="1"/>
      <c r="BA647" s="1"/>
      <c r="BB647" s="1"/>
      <c r="BC647" s="1"/>
      <c r="BD647" s="1"/>
      <c r="BE647" s="1"/>
      <c r="BF647" s="1"/>
      <c r="BG647" s="1"/>
    </row>
    <row r="648" spans="1:59" ht="27" x14ac:dyDescent="0.35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  <c r="AA648" s="1"/>
      <c r="AB648" s="1"/>
      <c r="AC648" s="1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  <c r="AS648" s="1"/>
      <c r="AT648" s="1"/>
      <c r="AU648" s="1"/>
      <c r="AV648" s="1"/>
      <c r="AW648" s="1"/>
      <c r="AX648" s="1"/>
      <c r="AY648" s="1"/>
      <c r="AZ648" s="1"/>
      <c r="BA648" s="1"/>
      <c r="BB648" s="1"/>
      <c r="BC648" s="1"/>
      <c r="BD648" s="1"/>
      <c r="BE648" s="1"/>
      <c r="BF648" s="1"/>
      <c r="BG648" s="1"/>
    </row>
    <row r="649" spans="1:59" ht="27" x14ac:dyDescent="0.35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  <c r="AA649" s="1"/>
      <c r="AB649" s="1"/>
      <c r="AC649" s="1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  <c r="AS649" s="1"/>
      <c r="AT649" s="1"/>
      <c r="AU649" s="1"/>
      <c r="AV649" s="1"/>
      <c r="AW649" s="1"/>
      <c r="AX649" s="1"/>
      <c r="AY649" s="1"/>
      <c r="AZ649" s="1"/>
      <c r="BA649" s="1"/>
      <c r="BB649" s="1"/>
      <c r="BC649" s="1"/>
      <c r="BD649" s="1"/>
      <c r="BE649" s="1"/>
      <c r="BF649" s="1"/>
      <c r="BG649" s="1"/>
    </row>
    <row r="650" spans="1:59" ht="27" x14ac:dyDescent="0.35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  <c r="AA650" s="1"/>
      <c r="AB650" s="1"/>
      <c r="AC650" s="1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  <c r="AS650" s="1"/>
      <c r="AT650" s="1"/>
      <c r="AU650" s="1"/>
      <c r="AV650" s="1"/>
      <c r="AW650" s="1"/>
      <c r="AX650" s="1"/>
      <c r="AY650" s="1"/>
      <c r="AZ650" s="1"/>
      <c r="BA650" s="1"/>
      <c r="BB650" s="1"/>
      <c r="BC650" s="1"/>
      <c r="BD650" s="1"/>
      <c r="BE650" s="1"/>
      <c r="BF650" s="1"/>
      <c r="BG650" s="1"/>
    </row>
    <row r="651" spans="1:59" ht="27" x14ac:dyDescent="0.35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  <c r="AA651" s="1"/>
      <c r="AB651" s="1"/>
      <c r="AC651" s="1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  <c r="AS651" s="1"/>
      <c r="AT651" s="1"/>
      <c r="AU651" s="1"/>
      <c r="AV651" s="1"/>
      <c r="AW651" s="1"/>
      <c r="AX651" s="1"/>
      <c r="AY651" s="1"/>
      <c r="AZ651" s="1"/>
      <c r="BA651" s="1"/>
      <c r="BB651" s="1"/>
      <c r="BC651" s="1"/>
      <c r="BD651" s="1"/>
      <c r="BE651" s="1"/>
      <c r="BF651" s="1"/>
      <c r="BG651" s="1"/>
    </row>
    <row r="652" spans="1:59" ht="27" x14ac:dyDescent="0.35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  <c r="AA652" s="1"/>
      <c r="AB652" s="1"/>
      <c r="AC652" s="1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  <c r="AS652" s="1"/>
      <c r="AT652" s="1"/>
      <c r="AU652" s="1"/>
      <c r="AV652" s="1"/>
      <c r="AW652" s="1"/>
      <c r="AX652" s="1"/>
      <c r="AY652" s="1"/>
      <c r="AZ652" s="1"/>
      <c r="BA652" s="1"/>
      <c r="BB652" s="1"/>
      <c r="BC652" s="1"/>
      <c r="BD652" s="1"/>
      <c r="BE652" s="1"/>
      <c r="BF652" s="1"/>
      <c r="BG652" s="1"/>
    </row>
    <row r="653" spans="1:59" ht="27" x14ac:dyDescent="0.35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  <c r="AA653" s="1"/>
      <c r="AB653" s="1"/>
      <c r="AC653" s="1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  <c r="AS653" s="1"/>
      <c r="AT653" s="1"/>
      <c r="AU653" s="1"/>
      <c r="AV653" s="1"/>
      <c r="AW653" s="1"/>
      <c r="AX653" s="1"/>
      <c r="AY653" s="1"/>
      <c r="AZ653" s="1"/>
      <c r="BA653" s="1"/>
      <c r="BB653" s="1"/>
      <c r="BC653" s="1"/>
      <c r="BD653" s="1"/>
      <c r="BE653" s="1"/>
      <c r="BF653" s="1"/>
      <c r="BG653" s="1"/>
    </row>
    <row r="654" spans="1:59" ht="27" x14ac:dyDescent="0.35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  <c r="AA654" s="1"/>
      <c r="AB654" s="1"/>
      <c r="AC654" s="1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  <c r="AS654" s="1"/>
      <c r="AT654" s="1"/>
      <c r="AU654" s="1"/>
      <c r="AV654" s="1"/>
      <c r="AW654" s="1"/>
      <c r="AX654" s="1"/>
      <c r="AY654" s="1"/>
      <c r="AZ654" s="1"/>
      <c r="BA654" s="1"/>
      <c r="BB654" s="1"/>
      <c r="BC654" s="1"/>
      <c r="BD654" s="1"/>
      <c r="BE654" s="1"/>
      <c r="BF654" s="1"/>
      <c r="BG654" s="1"/>
    </row>
    <row r="655" spans="1:59" ht="27" x14ac:dyDescent="0.35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  <c r="AA655" s="1"/>
      <c r="AB655" s="1"/>
      <c r="AC655" s="1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  <c r="AS655" s="1"/>
      <c r="AT655" s="1"/>
      <c r="AU655" s="1"/>
      <c r="AV655" s="1"/>
      <c r="AW655" s="1"/>
      <c r="AX655" s="1"/>
      <c r="AY655" s="1"/>
      <c r="AZ655" s="1"/>
      <c r="BA655" s="1"/>
      <c r="BB655" s="1"/>
      <c r="BC655" s="1"/>
      <c r="BD655" s="1"/>
      <c r="BE655" s="1"/>
      <c r="BF655" s="1"/>
      <c r="BG655" s="1"/>
    </row>
    <row r="656" spans="1:59" ht="27" x14ac:dyDescent="0.35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  <c r="AA656" s="1"/>
      <c r="AB656" s="1"/>
      <c r="AC656" s="1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  <c r="AS656" s="1"/>
      <c r="AT656" s="1"/>
      <c r="AU656" s="1"/>
      <c r="AV656" s="1"/>
      <c r="AW656" s="1"/>
      <c r="AX656" s="1"/>
      <c r="AY656" s="1"/>
      <c r="AZ656" s="1"/>
      <c r="BA656" s="1"/>
      <c r="BB656" s="1"/>
      <c r="BC656" s="1"/>
      <c r="BD656" s="1"/>
      <c r="BE656" s="1"/>
      <c r="BF656" s="1"/>
      <c r="BG656" s="1"/>
    </row>
    <row r="657" spans="1:59" ht="27" x14ac:dyDescent="0.35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  <c r="AA657" s="1"/>
      <c r="AB657" s="1"/>
      <c r="AC657" s="1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  <c r="AS657" s="1"/>
      <c r="AT657" s="1"/>
      <c r="AU657" s="1"/>
      <c r="AV657" s="1"/>
      <c r="AW657" s="1"/>
      <c r="AX657" s="1"/>
      <c r="AY657" s="1"/>
      <c r="AZ657" s="1"/>
      <c r="BA657" s="1"/>
      <c r="BB657" s="1"/>
      <c r="BC657" s="1"/>
      <c r="BD657" s="1"/>
      <c r="BE657" s="1"/>
      <c r="BF657" s="1"/>
      <c r="BG657" s="1"/>
    </row>
    <row r="658" spans="1:59" ht="27" x14ac:dyDescent="0.35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  <c r="AA658" s="1"/>
      <c r="AB658" s="1"/>
      <c r="AC658" s="1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  <c r="AS658" s="1"/>
      <c r="AT658" s="1"/>
      <c r="AU658" s="1"/>
      <c r="AV658" s="1"/>
      <c r="AW658" s="1"/>
      <c r="AX658" s="1"/>
      <c r="AY658" s="1"/>
      <c r="AZ658" s="1"/>
      <c r="BA658" s="1"/>
      <c r="BB658" s="1"/>
      <c r="BC658" s="1"/>
      <c r="BD658" s="1"/>
      <c r="BE658" s="1"/>
      <c r="BF658" s="1"/>
      <c r="BG658" s="1"/>
    </row>
    <row r="659" spans="1:59" ht="27" x14ac:dyDescent="0.35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  <c r="AA659" s="1"/>
      <c r="AB659" s="1"/>
      <c r="AC659" s="1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  <c r="AS659" s="1"/>
      <c r="AT659" s="1"/>
      <c r="AU659" s="1"/>
      <c r="AV659" s="1"/>
      <c r="AW659" s="1"/>
      <c r="AX659" s="1"/>
      <c r="AY659" s="1"/>
      <c r="AZ659" s="1"/>
      <c r="BA659" s="1"/>
      <c r="BB659" s="1"/>
      <c r="BC659" s="1"/>
      <c r="BD659" s="1"/>
      <c r="BE659" s="1"/>
      <c r="BF659" s="1"/>
      <c r="BG659" s="1"/>
    </row>
    <row r="660" spans="1:59" ht="27" x14ac:dyDescent="0.35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  <c r="AA660" s="1"/>
      <c r="AB660" s="1"/>
      <c r="AC660" s="1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  <c r="AS660" s="1"/>
      <c r="AT660" s="1"/>
      <c r="AU660" s="1"/>
      <c r="AV660" s="1"/>
      <c r="AW660" s="1"/>
      <c r="AX660" s="1"/>
      <c r="AY660" s="1"/>
      <c r="AZ660" s="1"/>
      <c r="BA660" s="1"/>
      <c r="BB660" s="1"/>
      <c r="BC660" s="1"/>
      <c r="BD660" s="1"/>
      <c r="BE660" s="1"/>
      <c r="BF660" s="1"/>
      <c r="BG660" s="1"/>
    </row>
    <row r="661" spans="1:59" ht="27" x14ac:dyDescent="0.35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  <c r="AA661" s="1"/>
      <c r="AB661" s="1"/>
      <c r="AC661" s="1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  <c r="AS661" s="1"/>
      <c r="AT661" s="1"/>
      <c r="AU661" s="1"/>
      <c r="AV661" s="1"/>
      <c r="AW661" s="1"/>
      <c r="AX661" s="1"/>
      <c r="AY661" s="1"/>
      <c r="AZ661" s="1"/>
      <c r="BA661" s="1"/>
      <c r="BB661" s="1"/>
      <c r="BC661" s="1"/>
      <c r="BD661" s="1"/>
      <c r="BE661" s="1"/>
      <c r="BF661" s="1"/>
      <c r="BG661" s="1"/>
    </row>
    <row r="662" spans="1:59" ht="27" x14ac:dyDescent="0.35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  <c r="AA662" s="1"/>
      <c r="AB662" s="1"/>
      <c r="AC662" s="1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  <c r="AS662" s="1"/>
      <c r="AT662" s="1"/>
      <c r="AU662" s="1"/>
      <c r="AV662" s="1"/>
      <c r="AW662" s="1"/>
      <c r="AX662" s="1"/>
      <c r="AY662" s="1"/>
      <c r="AZ662" s="1"/>
      <c r="BA662" s="1"/>
      <c r="BB662" s="1"/>
      <c r="BC662" s="1"/>
      <c r="BD662" s="1"/>
      <c r="BE662" s="1"/>
      <c r="BF662" s="1"/>
      <c r="BG662" s="1"/>
    </row>
    <row r="663" spans="1:59" ht="27" x14ac:dyDescent="0.35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  <c r="AA663" s="1"/>
      <c r="AB663" s="1"/>
      <c r="AC663" s="1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  <c r="AS663" s="1"/>
      <c r="AT663" s="1"/>
      <c r="AU663" s="1"/>
      <c r="AV663" s="1"/>
      <c r="AW663" s="1"/>
      <c r="AX663" s="1"/>
      <c r="AY663" s="1"/>
      <c r="AZ663" s="1"/>
      <c r="BA663" s="1"/>
      <c r="BB663" s="1"/>
      <c r="BC663" s="1"/>
      <c r="BD663" s="1"/>
      <c r="BE663" s="1"/>
      <c r="BF663" s="1"/>
      <c r="BG663" s="1"/>
    </row>
    <row r="664" spans="1:59" ht="27" x14ac:dyDescent="0.35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  <c r="AA664" s="1"/>
      <c r="AB664" s="1"/>
      <c r="AC664" s="1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  <c r="AS664" s="1"/>
      <c r="AT664" s="1"/>
      <c r="AU664" s="1"/>
      <c r="AV664" s="1"/>
      <c r="AW664" s="1"/>
      <c r="AX664" s="1"/>
      <c r="AY664" s="1"/>
      <c r="AZ664" s="1"/>
      <c r="BA664" s="1"/>
      <c r="BB664" s="1"/>
      <c r="BC664" s="1"/>
      <c r="BD664" s="1"/>
      <c r="BE664" s="1"/>
      <c r="BF664" s="1"/>
      <c r="BG664" s="1"/>
    </row>
    <row r="665" spans="1:59" ht="27" x14ac:dyDescent="0.35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  <c r="AA665" s="1"/>
      <c r="AB665" s="1"/>
      <c r="AC665" s="1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  <c r="AS665" s="1"/>
      <c r="AT665" s="1"/>
      <c r="AU665" s="1"/>
      <c r="AV665" s="1"/>
      <c r="AW665" s="1"/>
      <c r="AX665" s="1"/>
      <c r="AY665" s="1"/>
      <c r="AZ665" s="1"/>
      <c r="BA665" s="1"/>
      <c r="BB665" s="1"/>
      <c r="BC665" s="1"/>
      <c r="BD665" s="1"/>
      <c r="BE665" s="1"/>
      <c r="BF665" s="1"/>
      <c r="BG665" s="1"/>
    </row>
    <row r="666" spans="1:59" ht="27" x14ac:dyDescent="0.35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  <c r="AA666" s="1"/>
      <c r="AB666" s="1"/>
      <c r="AC666" s="1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  <c r="AS666" s="1"/>
      <c r="AT666" s="1"/>
      <c r="AU666" s="1"/>
      <c r="AV666" s="1"/>
      <c r="AW666" s="1"/>
      <c r="AX666" s="1"/>
      <c r="AY666" s="1"/>
      <c r="AZ666" s="1"/>
      <c r="BA666" s="1"/>
      <c r="BB666" s="1"/>
      <c r="BC666" s="1"/>
      <c r="BD666" s="1"/>
      <c r="BE666" s="1"/>
      <c r="BF666" s="1"/>
      <c r="BG666" s="1"/>
    </row>
    <row r="667" spans="1:59" ht="27" x14ac:dyDescent="0.35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  <c r="AA667" s="1"/>
      <c r="AB667" s="1"/>
      <c r="AC667" s="1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  <c r="AS667" s="1"/>
      <c r="AT667" s="1"/>
      <c r="AU667" s="1"/>
      <c r="AV667" s="1"/>
      <c r="AW667" s="1"/>
      <c r="AX667" s="1"/>
      <c r="AY667" s="1"/>
      <c r="AZ667" s="1"/>
      <c r="BA667" s="1"/>
      <c r="BB667" s="1"/>
      <c r="BC667" s="1"/>
      <c r="BD667" s="1"/>
      <c r="BE667" s="1"/>
      <c r="BF667" s="1"/>
      <c r="BG667" s="1"/>
    </row>
    <row r="668" spans="1:59" ht="27" x14ac:dyDescent="0.35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  <c r="AA668" s="1"/>
      <c r="AB668" s="1"/>
      <c r="AC668" s="1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  <c r="AS668" s="1"/>
      <c r="AT668" s="1"/>
      <c r="AU668" s="1"/>
      <c r="AV668" s="1"/>
      <c r="AW668" s="1"/>
      <c r="AX668" s="1"/>
      <c r="AY668" s="1"/>
      <c r="AZ668" s="1"/>
      <c r="BA668" s="1"/>
      <c r="BB668" s="1"/>
      <c r="BC668" s="1"/>
      <c r="BD668" s="1"/>
      <c r="BE668" s="1"/>
      <c r="BF668" s="1"/>
      <c r="BG668" s="1"/>
    </row>
    <row r="669" spans="1:59" ht="27" x14ac:dyDescent="0.35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  <c r="AA669" s="1"/>
      <c r="AB669" s="1"/>
      <c r="AC669" s="1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  <c r="AS669" s="1"/>
      <c r="AT669" s="1"/>
      <c r="AU669" s="1"/>
      <c r="AV669" s="1"/>
      <c r="AW669" s="1"/>
      <c r="AX669" s="1"/>
      <c r="AY669" s="1"/>
      <c r="AZ669" s="1"/>
      <c r="BA669" s="1"/>
      <c r="BB669" s="1"/>
      <c r="BC669" s="1"/>
      <c r="BD669" s="1"/>
      <c r="BE669" s="1"/>
      <c r="BF669" s="1"/>
      <c r="BG669" s="1"/>
    </row>
    <row r="670" spans="1:59" ht="27" x14ac:dyDescent="0.35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  <c r="AA670" s="1"/>
      <c r="AB670" s="1"/>
      <c r="AC670" s="1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  <c r="AS670" s="1"/>
      <c r="AT670" s="1"/>
      <c r="AU670" s="1"/>
      <c r="AV670" s="1"/>
      <c r="AW670" s="1"/>
      <c r="AX670" s="1"/>
      <c r="AY670" s="1"/>
      <c r="AZ670" s="1"/>
      <c r="BA670" s="1"/>
      <c r="BB670" s="1"/>
      <c r="BC670" s="1"/>
      <c r="BD670" s="1"/>
      <c r="BE670" s="1"/>
      <c r="BF670" s="1"/>
      <c r="BG670" s="1"/>
    </row>
    <row r="671" spans="1:59" ht="27" x14ac:dyDescent="0.35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  <c r="AA671" s="1"/>
      <c r="AB671" s="1"/>
      <c r="AC671" s="1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  <c r="AS671" s="1"/>
      <c r="AT671" s="1"/>
      <c r="AU671" s="1"/>
      <c r="AV671" s="1"/>
      <c r="AW671" s="1"/>
      <c r="AX671" s="1"/>
      <c r="AY671" s="1"/>
      <c r="AZ671" s="1"/>
      <c r="BA671" s="1"/>
      <c r="BB671" s="1"/>
      <c r="BC671" s="1"/>
      <c r="BD671" s="1"/>
      <c r="BE671" s="1"/>
      <c r="BF671" s="1"/>
      <c r="BG671" s="1"/>
    </row>
    <row r="672" spans="1:59" ht="27" x14ac:dyDescent="0.35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  <c r="AA672" s="1"/>
      <c r="AB672" s="1"/>
      <c r="AC672" s="1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  <c r="AS672" s="1"/>
      <c r="AT672" s="1"/>
      <c r="AU672" s="1"/>
      <c r="AV672" s="1"/>
      <c r="AW672" s="1"/>
      <c r="AX672" s="1"/>
      <c r="AY672" s="1"/>
      <c r="AZ672" s="1"/>
      <c r="BA672" s="1"/>
      <c r="BB672" s="1"/>
      <c r="BC672" s="1"/>
      <c r="BD672" s="1"/>
      <c r="BE672" s="1"/>
      <c r="BF672" s="1"/>
      <c r="BG672" s="1"/>
    </row>
    <row r="673" spans="1:59" ht="27" x14ac:dyDescent="0.35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  <c r="AA673" s="1"/>
      <c r="AB673" s="1"/>
      <c r="AC673" s="1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  <c r="AS673" s="1"/>
      <c r="AT673" s="1"/>
      <c r="AU673" s="1"/>
      <c r="AV673" s="1"/>
      <c r="AW673" s="1"/>
      <c r="AX673" s="1"/>
      <c r="AY673" s="1"/>
      <c r="AZ673" s="1"/>
      <c r="BA673" s="1"/>
      <c r="BB673" s="1"/>
      <c r="BC673" s="1"/>
      <c r="BD673" s="1"/>
      <c r="BE673" s="1"/>
      <c r="BF673" s="1"/>
      <c r="BG673" s="1"/>
    </row>
    <row r="674" spans="1:59" ht="27" x14ac:dyDescent="0.35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  <c r="AA674" s="1"/>
      <c r="AB674" s="1"/>
      <c r="AC674" s="1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  <c r="AS674" s="1"/>
      <c r="AT674" s="1"/>
      <c r="AU674" s="1"/>
      <c r="AV674" s="1"/>
      <c r="AW674" s="1"/>
      <c r="AX674" s="1"/>
      <c r="AY674" s="1"/>
      <c r="AZ674" s="1"/>
      <c r="BA674" s="1"/>
      <c r="BB674" s="1"/>
      <c r="BC674" s="1"/>
      <c r="BD674" s="1"/>
      <c r="BE674" s="1"/>
      <c r="BF674" s="1"/>
      <c r="BG674" s="1"/>
    </row>
    <row r="675" spans="1:59" ht="27" x14ac:dyDescent="0.35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  <c r="AA675" s="1"/>
      <c r="AB675" s="1"/>
      <c r="AC675" s="1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  <c r="AS675" s="1"/>
      <c r="AT675" s="1"/>
      <c r="AU675" s="1"/>
      <c r="AV675" s="1"/>
      <c r="AW675" s="1"/>
      <c r="AX675" s="1"/>
      <c r="AY675" s="1"/>
      <c r="AZ675" s="1"/>
      <c r="BA675" s="1"/>
      <c r="BB675" s="1"/>
      <c r="BC675" s="1"/>
      <c r="BD675" s="1"/>
      <c r="BE675" s="1"/>
      <c r="BF675" s="1"/>
      <c r="BG675" s="1"/>
    </row>
    <row r="676" spans="1:59" ht="27" x14ac:dyDescent="0.35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  <c r="AA676" s="1"/>
      <c r="AB676" s="1"/>
      <c r="AC676" s="1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  <c r="AS676" s="1"/>
      <c r="AT676" s="1"/>
      <c r="AU676" s="1"/>
      <c r="AV676" s="1"/>
      <c r="AW676" s="1"/>
      <c r="AX676" s="1"/>
      <c r="AY676" s="1"/>
      <c r="AZ676" s="1"/>
      <c r="BA676" s="1"/>
      <c r="BB676" s="1"/>
      <c r="BC676" s="1"/>
      <c r="BD676" s="1"/>
      <c r="BE676" s="1"/>
      <c r="BF676" s="1"/>
      <c r="BG676" s="1"/>
    </row>
    <row r="677" spans="1:59" ht="27" x14ac:dyDescent="0.35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  <c r="AA677" s="1"/>
      <c r="AB677" s="1"/>
      <c r="AC677" s="1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  <c r="AS677" s="1"/>
      <c r="AT677" s="1"/>
      <c r="AU677" s="1"/>
      <c r="AV677" s="1"/>
      <c r="AW677" s="1"/>
      <c r="AX677" s="1"/>
      <c r="AY677" s="1"/>
      <c r="AZ677" s="1"/>
      <c r="BA677" s="1"/>
      <c r="BB677" s="1"/>
      <c r="BC677" s="1"/>
      <c r="BD677" s="1"/>
      <c r="BE677" s="1"/>
      <c r="BF677" s="1"/>
      <c r="BG677" s="1"/>
    </row>
    <row r="678" spans="1:59" ht="27" x14ac:dyDescent="0.35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  <c r="AA678" s="1"/>
      <c r="AB678" s="1"/>
      <c r="AC678" s="1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  <c r="AS678" s="1"/>
      <c r="AT678" s="1"/>
      <c r="AU678" s="1"/>
      <c r="AV678" s="1"/>
      <c r="AW678" s="1"/>
      <c r="AX678" s="1"/>
      <c r="AY678" s="1"/>
      <c r="AZ678" s="1"/>
      <c r="BA678" s="1"/>
      <c r="BB678" s="1"/>
      <c r="BC678" s="1"/>
      <c r="BD678" s="1"/>
      <c r="BE678" s="1"/>
      <c r="BF678" s="1"/>
      <c r="BG678" s="1"/>
    </row>
    <row r="679" spans="1:59" ht="27" x14ac:dyDescent="0.35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  <c r="AA679" s="1"/>
      <c r="AB679" s="1"/>
      <c r="AC679" s="1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  <c r="AS679" s="1"/>
      <c r="AT679" s="1"/>
      <c r="AU679" s="1"/>
      <c r="AV679" s="1"/>
      <c r="AW679" s="1"/>
      <c r="AX679" s="1"/>
      <c r="AY679" s="1"/>
      <c r="AZ679" s="1"/>
      <c r="BA679" s="1"/>
      <c r="BB679" s="1"/>
      <c r="BC679" s="1"/>
      <c r="BD679" s="1"/>
      <c r="BE679" s="1"/>
      <c r="BF679" s="1"/>
      <c r="BG679" s="1"/>
    </row>
    <row r="680" spans="1:59" ht="27" x14ac:dyDescent="0.35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  <c r="AA680" s="1"/>
      <c r="AB680" s="1"/>
      <c r="AC680" s="1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  <c r="AS680" s="1"/>
      <c r="AT680" s="1"/>
      <c r="AU680" s="1"/>
      <c r="AV680" s="1"/>
      <c r="AW680" s="1"/>
      <c r="AX680" s="1"/>
      <c r="AY680" s="1"/>
      <c r="AZ680" s="1"/>
      <c r="BA680" s="1"/>
      <c r="BB680" s="1"/>
      <c r="BC680" s="1"/>
      <c r="BD680" s="1"/>
      <c r="BE680" s="1"/>
      <c r="BF680" s="1"/>
      <c r="BG680" s="1"/>
    </row>
    <row r="681" spans="1:59" ht="27" x14ac:dyDescent="0.35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  <c r="AA681" s="1"/>
      <c r="AB681" s="1"/>
      <c r="AC681" s="1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  <c r="AS681" s="1"/>
      <c r="AT681" s="1"/>
      <c r="AU681" s="1"/>
      <c r="AV681" s="1"/>
      <c r="AW681" s="1"/>
      <c r="AX681" s="1"/>
      <c r="AY681" s="1"/>
      <c r="AZ681" s="1"/>
      <c r="BA681" s="1"/>
      <c r="BB681" s="1"/>
      <c r="BC681" s="1"/>
      <c r="BD681" s="1"/>
      <c r="BE681" s="1"/>
      <c r="BF681" s="1"/>
      <c r="BG681" s="1"/>
    </row>
    <row r="682" spans="1:59" ht="27" x14ac:dyDescent="0.35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  <c r="AA682" s="1"/>
      <c r="AB682" s="1"/>
      <c r="AC682" s="1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  <c r="AS682" s="1"/>
      <c r="AT682" s="1"/>
      <c r="AU682" s="1"/>
      <c r="AV682" s="1"/>
      <c r="AW682" s="1"/>
      <c r="AX682" s="1"/>
      <c r="AY682" s="1"/>
      <c r="AZ682" s="1"/>
      <c r="BA682" s="1"/>
      <c r="BB682" s="1"/>
      <c r="BC682" s="1"/>
      <c r="BD682" s="1"/>
      <c r="BE682" s="1"/>
      <c r="BF682" s="1"/>
      <c r="BG682" s="1"/>
    </row>
    <row r="683" spans="1:59" ht="27" x14ac:dyDescent="0.35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  <c r="AA683" s="1"/>
      <c r="AB683" s="1"/>
      <c r="AC683" s="1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  <c r="AS683" s="1"/>
      <c r="AT683" s="1"/>
      <c r="AU683" s="1"/>
      <c r="AV683" s="1"/>
      <c r="AW683" s="1"/>
      <c r="AX683" s="1"/>
      <c r="AY683" s="1"/>
      <c r="AZ683" s="1"/>
      <c r="BA683" s="1"/>
      <c r="BB683" s="1"/>
      <c r="BC683" s="1"/>
      <c r="BD683" s="1"/>
      <c r="BE683" s="1"/>
      <c r="BF683" s="1"/>
      <c r="BG683" s="1"/>
    </row>
    <row r="684" spans="1:59" ht="27" x14ac:dyDescent="0.35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  <c r="AA684" s="1"/>
      <c r="AB684" s="1"/>
      <c r="AC684" s="1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  <c r="AS684" s="1"/>
      <c r="AT684" s="1"/>
      <c r="AU684" s="1"/>
      <c r="AV684" s="1"/>
      <c r="AW684" s="1"/>
      <c r="AX684" s="1"/>
      <c r="AY684" s="1"/>
      <c r="AZ684" s="1"/>
      <c r="BA684" s="1"/>
      <c r="BB684" s="1"/>
      <c r="BC684" s="1"/>
      <c r="BD684" s="1"/>
      <c r="BE684" s="1"/>
      <c r="BF684" s="1"/>
      <c r="BG684" s="1"/>
    </row>
    <row r="685" spans="1:59" ht="27" x14ac:dyDescent="0.35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  <c r="AA685" s="1"/>
      <c r="AB685" s="1"/>
      <c r="AC685" s="1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  <c r="AS685" s="1"/>
      <c r="AT685" s="1"/>
      <c r="AU685" s="1"/>
      <c r="AV685" s="1"/>
      <c r="AW685" s="1"/>
      <c r="AX685" s="1"/>
      <c r="AY685" s="1"/>
      <c r="AZ685" s="1"/>
      <c r="BA685" s="1"/>
      <c r="BB685" s="1"/>
      <c r="BC685" s="1"/>
      <c r="BD685" s="1"/>
      <c r="BE685" s="1"/>
      <c r="BF685" s="1"/>
      <c r="BG685" s="1"/>
    </row>
  </sheetData>
  <pageMargins left="0.7" right="0.7" top="0.75" bottom="0.75" header="0.3" footer="0.3"/>
  <pageSetup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AD0A0B-ECC1-964C-AEF7-D03EAD241F0C}">
  <dimension ref="A1:M85"/>
  <sheetViews>
    <sheetView topLeftCell="C1" workbookViewId="0">
      <selection activeCell="A8" sqref="A8"/>
    </sheetView>
  </sheetViews>
  <sheetFormatPr baseColWidth="10" defaultRowHeight="16" x14ac:dyDescent="0.2"/>
  <cols>
    <col min="1" max="1" width="27.6640625" bestFit="1" customWidth="1"/>
    <col min="2" max="2" width="12.1640625" bestFit="1" customWidth="1"/>
    <col min="10" max="10" width="27.6640625" bestFit="1" customWidth="1"/>
  </cols>
  <sheetData>
    <row r="1" spans="1:13" ht="27" x14ac:dyDescent="0.35">
      <c r="A1" s="16" t="s">
        <v>75</v>
      </c>
      <c r="B1" s="16" t="s">
        <v>69</v>
      </c>
      <c r="C1" s="1"/>
      <c r="D1" s="1"/>
      <c r="E1" s="1"/>
      <c r="F1" s="1"/>
      <c r="G1" s="1"/>
      <c r="H1" s="1"/>
      <c r="I1" s="1"/>
      <c r="J1" s="21" t="s">
        <v>78</v>
      </c>
      <c r="K1">
        <f>SUMIF(InputActivos[ISO],"ARG",InputActivos[Peso])</f>
        <v>0.65</v>
      </c>
      <c r="L1" s="1"/>
      <c r="M1" s="1"/>
    </row>
    <row r="2" spans="1:13" ht="27" x14ac:dyDescent="0.35">
      <c r="A2" s="21" t="s">
        <v>76</v>
      </c>
      <c r="B2">
        <f>SUMPRODUCT(InputActivos[Peso],InputActivos[VolatilidadFinal])</f>
        <v>19.232627285426535</v>
      </c>
      <c r="C2" s="1"/>
      <c r="D2" s="1"/>
      <c r="E2" s="1"/>
      <c r="F2" s="1"/>
      <c r="G2" s="1"/>
      <c r="H2" s="1"/>
      <c r="I2" s="1"/>
      <c r="J2" s="21" t="s">
        <v>79</v>
      </c>
      <c r="K2">
        <f>SUMIF(InputActivos[ISO],"USA",InputActivos[Peso])</f>
        <v>0.35</v>
      </c>
      <c r="L2" s="1"/>
      <c r="M2" s="1"/>
    </row>
    <row r="3" spans="1:13" ht="27" x14ac:dyDescent="0.35">
      <c r="A3" s="21" t="s">
        <v>77</v>
      </c>
      <c r="B3">
        <f>+SUMPRODUCT(InputActivos[Peso],InputActivos[ScoreActivoFinal])</f>
        <v>65.463247820371294</v>
      </c>
      <c r="C3" s="1"/>
      <c r="D3" s="1"/>
      <c r="E3" s="1"/>
      <c r="F3" s="1"/>
      <c r="G3" s="1"/>
      <c r="H3" s="1"/>
      <c r="I3" s="1"/>
      <c r="J3" s="21" t="s">
        <v>84</v>
      </c>
      <c r="K3" s="18">
        <f>SUMIF(InputActivos[Tipo],"Inmueble",InputActivos[Peso])</f>
        <v>0.5</v>
      </c>
      <c r="L3" s="1"/>
      <c r="M3" s="1"/>
    </row>
    <row r="4" spans="1:13" ht="27" x14ac:dyDescent="0.35">
      <c r="A4" s="21" t="s">
        <v>86</v>
      </c>
      <c r="B4" s="20">
        <f>SUM(LARGE(InputActivos[Peso],1),
      LARGE(InputActivos[Peso],2),
      LARGE(InputActivos[Peso],3))</f>
        <v>0.8833333333333333</v>
      </c>
      <c r="C4" s="1"/>
      <c r="D4" s="1"/>
      <c r="E4" s="1"/>
      <c r="F4" s="1"/>
      <c r="G4" s="1"/>
      <c r="H4" s="1"/>
      <c r="I4" s="1"/>
      <c r="J4" s="21" t="s">
        <v>85</v>
      </c>
      <c r="K4" s="20">
        <f>SUMIF(InputActivos[Tipo],"ETF",InputActivos[Peso])</f>
        <v>0.25</v>
      </c>
      <c r="L4" s="1"/>
      <c r="M4" s="1"/>
    </row>
    <row r="5" spans="1:13" ht="27" x14ac:dyDescent="0.35">
      <c r="A5" s="21" t="s">
        <v>80</v>
      </c>
      <c r="B5" s="18">
        <f>SUMIF(InputActivos[Tipo],"Acciones",InputActivos[Peso])</f>
        <v>1.6666666666666666E-2</v>
      </c>
      <c r="C5" s="1"/>
      <c r="D5" s="1"/>
      <c r="E5" s="1"/>
      <c r="F5" s="1"/>
      <c r="G5" s="1"/>
      <c r="H5" s="1"/>
      <c r="I5" s="1"/>
      <c r="J5" s="21" t="s">
        <v>87</v>
      </c>
      <c r="K5" s="18" cm="1">
        <f t="array" ref="K5">SUMPRODUCT(InputActivos[Peso]^2)</f>
        <v>0.33777777777777773</v>
      </c>
      <c r="L5" s="1"/>
      <c r="M5" s="1"/>
    </row>
    <row r="6" spans="1:13" ht="27" x14ac:dyDescent="0.35">
      <c r="A6" s="21" t="s">
        <v>81</v>
      </c>
      <c r="B6" s="18">
        <f>SUMIF(InputActivos[Tipo],"Renta fija",InputActivos[Peso])</f>
        <v>0.13333333333333333</v>
      </c>
      <c r="C6" s="1"/>
      <c r="D6" s="1"/>
      <c r="E6" s="1"/>
      <c r="F6" s="1"/>
      <c r="G6" s="1"/>
      <c r="H6" s="1"/>
      <c r="I6" s="1"/>
      <c r="J6" s="21" t="s">
        <v>88</v>
      </c>
      <c r="K6" s="19">
        <f>SUMPRODUCT(InputActivos[Peso],InputActivos[CountryContextScore])</f>
        <v>42.507060479068002</v>
      </c>
      <c r="L6" s="1"/>
      <c r="M6" s="1"/>
    </row>
    <row r="7" spans="1:13" ht="27" x14ac:dyDescent="0.35">
      <c r="A7" s="21" t="s">
        <v>82</v>
      </c>
      <c r="B7" s="18">
        <f>SUMIF(InputActivos[Tipo],"Cash",InputActivos[Peso])</f>
        <v>9.9999999999999992E-2</v>
      </c>
      <c r="C7" s="1"/>
      <c r="D7" s="1"/>
      <c r="E7" s="1"/>
      <c r="F7" s="1"/>
      <c r="G7" s="1"/>
      <c r="H7" s="1"/>
      <c r="I7" s="1"/>
      <c r="J7" s="1"/>
      <c r="K7" s="1"/>
      <c r="L7" s="1"/>
      <c r="M7" s="1"/>
    </row>
    <row r="8" spans="1:13" ht="27" x14ac:dyDescent="0.35">
      <c r="C8" s="1"/>
      <c r="D8" s="1"/>
      <c r="E8" s="1"/>
      <c r="F8" s="1"/>
      <c r="G8" s="1"/>
      <c r="H8" s="1"/>
      <c r="I8" s="1"/>
      <c r="J8" s="1"/>
      <c r="K8" s="1"/>
      <c r="L8" s="1"/>
      <c r="M8" s="1"/>
    </row>
    <row r="9" spans="1:13" ht="27" x14ac:dyDescent="0.35">
      <c r="C9" s="1"/>
      <c r="D9" s="1"/>
      <c r="E9" s="1"/>
      <c r="F9" s="1"/>
      <c r="G9" s="1"/>
      <c r="H9" s="1"/>
      <c r="I9" s="1"/>
      <c r="J9" s="1"/>
      <c r="K9" s="1"/>
      <c r="L9" s="1"/>
      <c r="M9" s="1"/>
    </row>
    <row r="10" spans="1:13" ht="27" x14ac:dyDescent="0.35"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</row>
    <row r="11" spans="1:13" ht="27" x14ac:dyDescent="0.35"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</row>
    <row r="12" spans="1:13" ht="27" x14ac:dyDescent="0.35"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</row>
    <row r="13" spans="1:13" ht="27" x14ac:dyDescent="0.35"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</row>
    <row r="14" spans="1:13" ht="27" x14ac:dyDescent="0.35"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</row>
    <row r="15" spans="1:13" ht="27" x14ac:dyDescent="0.35"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spans="1:13" ht="27" x14ac:dyDescent="0.35">
      <c r="A16" s="2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</row>
    <row r="17" spans="1:13" ht="27" x14ac:dyDescent="0.35">
      <c r="A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</row>
    <row r="18" spans="1:13" ht="27" x14ac:dyDescent="0.35">
      <c r="A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</row>
    <row r="19" spans="1:13" ht="27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</row>
    <row r="20" spans="1:13" ht="27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</row>
    <row r="21" spans="1:13" ht="27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</row>
    <row r="22" spans="1:13" ht="27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</row>
    <row r="23" spans="1:13" ht="27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</row>
    <row r="24" spans="1:13" ht="27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</row>
    <row r="25" spans="1:13" ht="27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</row>
    <row r="26" spans="1:13" ht="27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</row>
    <row r="27" spans="1:13" ht="27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</row>
    <row r="28" spans="1:13" ht="27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</row>
    <row r="29" spans="1:13" ht="27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</row>
    <row r="30" spans="1:13" ht="27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</row>
    <row r="31" spans="1:13" ht="27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</row>
    <row r="32" spans="1:13" ht="27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</row>
    <row r="33" spans="1:13" ht="27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</row>
    <row r="34" spans="1:13" ht="27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</row>
    <row r="35" spans="1:13" ht="27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</row>
    <row r="36" spans="1:13" ht="27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</row>
    <row r="37" spans="1:13" ht="27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</row>
    <row r="38" spans="1:13" ht="27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</row>
    <row r="39" spans="1:13" ht="27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</row>
    <row r="40" spans="1:13" ht="27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</row>
    <row r="41" spans="1:13" ht="27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</row>
    <row r="42" spans="1:13" ht="27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</row>
    <row r="43" spans="1:13" ht="27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</row>
    <row r="44" spans="1:13" ht="27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</row>
    <row r="45" spans="1:13" ht="27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</row>
    <row r="46" spans="1:13" ht="27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</row>
    <row r="47" spans="1:13" ht="27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</row>
    <row r="48" spans="1:13" ht="27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</row>
    <row r="49" spans="1:13" ht="27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</row>
    <row r="50" spans="1:13" ht="27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</row>
    <row r="51" spans="1:13" ht="27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</row>
    <row r="52" spans="1:13" ht="27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</row>
    <row r="53" spans="1:13" ht="27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</row>
    <row r="54" spans="1:13" ht="27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</row>
    <row r="55" spans="1:13" ht="27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</row>
    <row r="56" spans="1:13" ht="27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</row>
    <row r="57" spans="1:13" ht="27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</row>
    <row r="58" spans="1:13" ht="27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</row>
    <row r="59" spans="1:13" ht="27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</row>
    <row r="60" spans="1:13" ht="27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</row>
    <row r="61" spans="1:13" ht="27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</row>
    <row r="62" spans="1:13" ht="27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</row>
    <row r="63" spans="1:13" ht="27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</row>
    <row r="64" spans="1:13" ht="27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</row>
    <row r="65" spans="1:13" ht="27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</row>
    <row r="66" spans="1:13" ht="27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</row>
    <row r="67" spans="1:13" ht="27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</row>
    <row r="68" spans="1:13" ht="27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</row>
    <row r="69" spans="1:13" ht="27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</row>
    <row r="70" spans="1:13" ht="27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</row>
    <row r="71" spans="1:13" ht="2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</row>
    <row r="72" spans="1:13" ht="27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</row>
    <row r="73" spans="1:13" ht="2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</row>
    <row r="74" spans="1:13" ht="27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</row>
    <row r="75" spans="1:13" ht="27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</row>
    <row r="76" spans="1:13" ht="27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</row>
    <row r="77" spans="1:13" ht="27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</row>
    <row r="78" spans="1:13" ht="27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</row>
    <row r="79" spans="1:13" ht="27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</row>
    <row r="80" spans="1:13" ht="27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</row>
    <row r="81" spans="1:13" ht="27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</row>
    <row r="82" spans="1:13" ht="27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</row>
    <row r="83" spans="1:13" ht="27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</row>
    <row r="84" spans="1:13" ht="27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</row>
    <row r="85" spans="1:13" ht="27" x14ac:dyDescent="0.35">
      <c r="A85" s="1"/>
      <c r="B85" s="1"/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7754EC-129B-934D-8958-13F5DB43426A}">
  <dimension ref="A1:AW108"/>
  <sheetViews>
    <sheetView tabSelected="1" workbookViewId="0">
      <selection activeCell="B7" sqref="B7"/>
    </sheetView>
  </sheetViews>
  <sheetFormatPr baseColWidth="10" defaultRowHeight="16" x14ac:dyDescent="0.2"/>
  <cols>
    <col min="1" max="1" width="14.33203125" bestFit="1" customWidth="1"/>
    <col min="2" max="2" width="13" bestFit="1" customWidth="1"/>
  </cols>
  <sheetData>
    <row r="1" spans="1:49" ht="27" x14ac:dyDescent="0.35">
      <c r="A1" s="24" t="s">
        <v>70</v>
      </c>
      <c r="B1" s="23" t="s">
        <v>90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</row>
    <row r="2" spans="1:49" ht="27" x14ac:dyDescent="0.35">
      <c r="A2" s="6" t="s">
        <v>71</v>
      </c>
      <c r="B2" t="s">
        <v>91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</row>
    <row r="3" spans="1:49" ht="27" x14ac:dyDescent="0.35">
      <c r="A3" s="6" t="s">
        <v>72</v>
      </c>
      <c r="B3" t="s">
        <v>92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</row>
    <row r="4" spans="1:49" ht="27" x14ac:dyDescent="0.35">
      <c r="A4" s="6" t="s">
        <v>89</v>
      </c>
      <c r="B4">
        <v>10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</row>
    <row r="5" spans="1:49" ht="27" x14ac:dyDescent="0.35">
      <c r="A5" s="6" t="s">
        <v>74</v>
      </c>
      <c r="B5" t="s">
        <v>8</v>
      </c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</row>
    <row r="6" spans="1:49" ht="27" x14ac:dyDescent="0.35">
      <c r="A6" s="6" t="s">
        <v>73</v>
      </c>
      <c r="B6">
        <v>590000</v>
      </c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  <c r="AS6" s="1"/>
      <c r="AT6" s="1"/>
      <c r="AU6" s="1"/>
      <c r="AV6" s="1"/>
      <c r="AW6" s="1"/>
    </row>
    <row r="7" spans="1:49" ht="27" x14ac:dyDescent="0.35">
      <c r="A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</row>
    <row r="8" spans="1:49" ht="27" x14ac:dyDescent="0.35">
      <c r="A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  <c r="AS8" s="1"/>
      <c r="AT8" s="1"/>
      <c r="AU8" s="1"/>
      <c r="AV8" s="1"/>
      <c r="AW8" s="1"/>
    </row>
    <row r="9" spans="1:49" ht="27" x14ac:dyDescent="0.35">
      <c r="A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  <c r="AS9" s="1"/>
      <c r="AT9" s="1"/>
      <c r="AU9" s="1"/>
      <c r="AV9" s="1"/>
      <c r="AW9" s="1"/>
    </row>
    <row r="10" spans="1:49" ht="27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</row>
    <row r="11" spans="1:49" ht="27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  <c r="AS11" s="1"/>
      <c r="AT11" s="1"/>
      <c r="AU11" s="1"/>
      <c r="AV11" s="1"/>
      <c r="AW11" s="1"/>
    </row>
    <row r="12" spans="1:49" ht="27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  <c r="AS12" s="1"/>
      <c r="AT12" s="1"/>
      <c r="AU12" s="1"/>
      <c r="AV12" s="1"/>
      <c r="AW12" s="1"/>
    </row>
    <row r="13" spans="1:49" ht="27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  <c r="AS13" s="1"/>
      <c r="AT13" s="1"/>
      <c r="AU13" s="1"/>
      <c r="AV13" s="1"/>
      <c r="AW13" s="1"/>
    </row>
    <row r="14" spans="1:49" ht="27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1"/>
      <c r="AT14" s="1"/>
      <c r="AU14" s="1"/>
      <c r="AV14" s="1"/>
      <c r="AW14" s="1"/>
    </row>
    <row r="15" spans="1:49" ht="27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</row>
    <row r="16" spans="1:49" ht="27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</row>
    <row r="17" spans="1:49" ht="27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  <c r="AA17" s="1"/>
      <c r="AB17" s="1"/>
      <c r="AC17" s="1"/>
      <c r="AD17" s="1"/>
      <c r="AE17" s="1"/>
      <c r="AF17" s="1"/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  <c r="AS17" s="1"/>
      <c r="AT17" s="1"/>
      <c r="AU17" s="1"/>
      <c r="AV17" s="1"/>
      <c r="AW17" s="1"/>
    </row>
    <row r="18" spans="1:49" ht="27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</row>
    <row r="19" spans="1:49" ht="27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</row>
    <row r="20" spans="1:49" ht="27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</row>
    <row r="21" spans="1:49" ht="27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</row>
    <row r="22" spans="1:49" ht="27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1"/>
      <c r="AT22" s="1"/>
      <c r="AU22" s="1"/>
      <c r="AV22" s="1"/>
      <c r="AW22" s="1"/>
    </row>
    <row r="23" spans="1:49" ht="27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  <c r="AS23" s="1"/>
      <c r="AT23" s="1"/>
      <c r="AU23" s="1"/>
      <c r="AV23" s="1"/>
      <c r="AW23" s="1"/>
    </row>
    <row r="24" spans="1:49" ht="27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  <c r="AS24" s="1"/>
      <c r="AT24" s="1"/>
      <c r="AU24" s="1"/>
      <c r="AV24" s="1"/>
      <c r="AW24" s="1"/>
    </row>
    <row r="25" spans="1:49" ht="27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  <c r="AS25" s="1"/>
      <c r="AT25" s="1"/>
      <c r="AU25" s="1"/>
      <c r="AV25" s="1"/>
      <c r="AW25" s="1"/>
    </row>
    <row r="26" spans="1:49" ht="27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  <c r="AS26" s="1"/>
      <c r="AT26" s="1"/>
      <c r="AU26" s="1"/>
      <c r="AV26" s="1"/>
      <c r="AW26" s="1"/>
    </row>
    <row r="27" spans="1:49" ht="27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  <c r="AS27" s="1"/>
      <c r="AT27" s="1"/>
      <c r="AU27" s="1"/>
      <c r="AV27" s="1"/>
      <c r="AW27" s="1"/>
    </row>
    <row r="28" spans="1:49" ht="27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  <c r="AS28" s="1"/>
      <c r="AT28" s="1"/>
      <c r="AU28" s="1"/>
      <c r="AV28" s="1"/>
      <c r="AW28" s="1"/>
    </row>
    <row r="29" spans="1:49" ht="27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  <c r="AS29" s="1"/>
      <c r="AT29" s="1"/>
      <c r="AU29" s="1"/>
      <c r="AV29" s="1"/>
      <c r="AW29" s="1"/>
    </row>
    <row r="30" spans="1:49" ht="27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  <c r="AS30" s="1"/>
      <c r="AT30" s="1"/>
      <c r="AU30" s="1"/>
      <c r="AV30" s="1"/>
      <c r="AW30" s="1"/>
    </row>
    <row r="31" spans="1:49" ht="27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</row>
    <row r="32" spans="1:49" ht="27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</row>
    <row r="33" spans="1:49" ht="27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  <c r="AS33" s="1"/>
      <c r="AT33" s="1"/>
      <c r="AU33" s="1"/>
      <c r="AV33" s="1"/>
      <c r="AW33" s="1"/>
    </row>
    <row r="34" spans="1:49" ht="27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V34" s="1"/>
      <c r="AW34" s="1"/>
    </row>
    <row r="35" spans="1:49" ht="27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</row>
    <row r="36" spans="1:49" ht="27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</row>
    <row r="37" spans="1:49" ht="27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  <c r="AS37" s="1"/>
      <c r="AT37" s="1"/>
      <c r="AU37" s="1"/>
      <c r="AV37" s="1"/>
      <c r="AW37" s="1"/>
    </row>
    <row r="38" spans="1:49" ht="27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  <c r="W38" s="1"/>
      <c r="X38" s="1"/>
      <c r="Y38" s="1"/>
      <c r="Z38" s="1"/>
      <c r="AA38" s="1"/>
      <c r="AB38" s="1"/>
      <c r="AC38" s="1"/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  <c r="AS38" s="1"/>
      <c r="AT38" s="1"/>
      <c r="AU38" s="1"/>
      <c r="AV38" s="1"/>
      <c r="AW38" s="1"/>
    </row>
    <row r="39" spans="1:49" ht="27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  <c r="W39" s="1"/>
      <c r="X39" s="1"/>
      <c r="Y39" s="1"/>
      <c r="Z39" s="1"/>
      <c r="AA39" s="1"/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  <c r="AS39" s="1"/>
      <c r="AT39" s="1"/>
      <c r="AU39" s="1"/>
      <c r="AV39" s="1"/>
      <c r="AW39" s="1"/>
    </row>
    <row r="40" spans="1:49" ht="27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  <c r="AS40" s="1"/>
      <c r="AT40" s="1"/>
      <c r="AU40" s="1"/>
      <c r="AV40" s="1"/>
      <c r="AW40" s="1"/>
    </row>
    <row r="41" spans="1:49" ht="27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  <c r="AS41" s="1"/>
      <c r="AT41" s="1"/>
      <c r="AU41" s="1"/>
      <c r="AV41" s="1"/>
      <c r="AW41" s="1"/>
    </row>
    <row r="42" spans="1:49" ht="27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</row>
    <row r="43" spans="1:49" ht="27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  <c r="AS43" s="1"/>
      <c r="AT43" s="1"/>
      <c r="AU43" s="1"/>
      <c r="AV43" s="1"/>
      <c r="AW43" s="1"/>
    </row>
    <row r="44" spans="1:49" ht="27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</row>
    <row r="45" spans="1:49" ht="27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  <c r="AS45" s="1"/>
      <c r="AT45" s="1"/>
      <c r="AU45" s="1"/>
      <c r="AV45" s="1"/>
      <c r="AW45" s="1"/>
    </row>
    <row r="46" spans="1:49" ht="27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</row>
    <row r="47" spans="1:49" ht="27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  <c r="AS47" s="1"/>
      <c r="AT47" s="1"/>
      <c r="AU47" s="1"/>
      <c r="AV47" s="1"/>
      <c r="AW47" s="1"/>
    </row>
    <row r="48" spans="1:49" ht="27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  <c r="AS48" s="1"/>
      <c r="AT48" s="1"/>
      <c r="AU48" s="1"/>
      <c r="AV48" s="1"/>
      <c r="AW48" s="1"/>
    </row>
    <row r="49" spans="1:49" ht="27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  <c r="AS49" s="1"/>
      <c r="AT49" s="1"/>
      <c r="AU49" s="1"/>
      <c r="AV49" s="1"/>
      <c r="AW49" s="1"/>
    </row>
    <row r="50" spans="1:49" ht="27" x14ac:dyDescent="0.35">
      <c r="A50" s="1"/>
      <c r="B50" s="1"/>
      <c r="C50" s="1"/>
      <c r="D50" s="1"/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  <c r="AS50" s="1"/>
      <c r="AT50" s="1"/>
      <c r="AU50" s="1"/>
      <c r="AV50" s="1"/>
      <c r="AW50" s="1"/>
    </row>
    <row r="51" spans="1:49" ht="27" x14ac:dyDescent="0.35">
      <c r="A51" s="1"/>
      <c r="B51" s="1"/>
      <c r="C51" s="1"/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  <c r="AS51" s="1"/>
      <c r="AT51" s="1"/>
      <c r="AU51" s="1"/>
      <c r="AV51" s="1"/>
      <c r="AW51" s="1"/>
    </row>
    <row r="52" spans="1:49" ht="27" x14ac:dyDescent="0.35">
      <c r="A52" s="1"/>
      <c r="B52" s="1"/>
      <c r="C52" s="1"/>
      <c r="D52" s="1"/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  <c r="AS52" s="1"/>
      <c r="AT52" s="1"/>
      <c r="AU52" s="1"/>
      <c r="AV52" s="1"/>
      <c r="AW52" s="1"/>
    </row>
    <row r="53" spans="1:49" ht="27" x14ac:dyDescent="0.35">
      <c r="A53" s="1"/>
      <c r="B53" s="1"/>
      <c r="C53" s="1"/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  <c r="AS53" s="1"/>
      <c r="AT53" s="1"/>
      <c r="AU53" s="1"/>
      <c r="AV53" s="1"/>
      <c r="AW53" s="1"/>
    </row>
    <row r="54" spans="1:49" ht="27" x14ac:dyDescent="0.35">
      <c r="A54" s="1"/>
      <c r="B54" s="1"/>
      <c r="C54" s="1"/>
      <c r="D54" s="1"/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  <c r="AS54" s="1"/>
      <c r="AT54" s="1"/>
      <c r="AU54" s="1"/>
      <c r="AV54" s="1"/>
      <c r="AW54" s="1"/>
    </row>
    <row r="55" spans="1:49" ht="27" x14ac:dyDescent="0.35">
      <c r="A55" s="1"/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</row>
    <row r="56" spans="1:49" ht="27" x14ac:dyDescent="0.35">
      <c r="A56" s="1"/>
      <c r="B56" s="1"/>
      <c r="C56" s="1"/>
      <c r="D56" s="1"/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  <c r="AS56" s="1"/>
      <c r="AT56" s="1"/>
      <c r="AU56" s="1"/>
      <c r="AV56" s="1"/>
      <c r="AW56" s="1"/>
    </row>
    <row r="57" spans="1:49" ht="27" x14ac:dyDescent="0.35">
      <c r="A57" s="1"/>
      <c r="B57" s="1"/>
      <c r="C57" s="1"/>
      <c r="D57" s="1"/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  <c r="AS57" s="1"/>
      <c r="AT57" s="1"/>
      <c r="AU57" s="1"/>
      <c r="AV57" s="1"/>
      <c r="AW57" s="1"/>
    </row>
    <row r="58" spans="1:49" ht="27" x14ac:dyDescent="0.35">
      <c r="A58" s="1"/>
      <c r="B58" s="1"/>
      <c r="C58" s="1"/>
      <c r="D58" s="1"/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  <c r="AS58" s="1"/>
      <c r="AT58" s="1"/>
      <c r="AU58" s="1"/>
      <c r="AV58" s="1"/>
      <c r="AW58" s="1"/>
    </row>
    <row r="59" spans="1:49" ht="27" x14ac:dyDescent="0.35">
      <c r="A59" s="1"/>
      <c r="B59" s="1"/>
      <c r="C59" s="1"/>
      <c r="D59" s="1"/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  <c r="AS59" s="1"/>
      <c r="AT59" s="1"/>
      <c r="AU59" s="1"/>
      <c r="AV59" s="1"/>
      <c r="AW59" s="1"/>
    </row>
    <row r="60" spans="1:49" ht="27" x14ac:dyDescent="0.35">
      <c r="A60" s="1"/>
      <c r="B60" s="1"/>
      <c r="C60" s="1"/>
      <c r="D60" s="1"/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  <c r="AS60" s="1"/>
      <c r="AT60" s="1"/>
      <c r="AU60" s="1"/>
      <c r="AV60" s="1"/>
      <c r="AW60" s="1"/>
    </row>
    <row r="61" spans="1:49" ht="27" x14ac:dyDescent="0.35">
      <c r="A61" s="1"/>
      <c r="B61" s="1"/>
      <c r="C61" s="1"/>
      <c r="D61" s="1"/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  <c r="AS61" s="1"/>
      <c r="AT61" s="1"/>
      <c r="AU61" s="1"/>
      <c r="AV61" s="1"/>
      <c r="AW61" s="1"/>
    </row>
    <row r="62" spans="1:49" ht="27" x14ac:dyDescent="0.35">
      <c r="A62" s="1"/>
      <c r="B62" s="1"/>
      <c r="C62" s="1"/>
      <c r="D62" s="1"/>
      <c r="E62" s="1"/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  <c r="AS62" s="1"/>
      <c r="AT62" s="1"/>
      <c r="AU62" s="1"/>
      <c r="AV62" s="1"/>
      <c r="AW62" s="1"/>
    </row>
    <row r="63" spans="1:49" ht="27" x14ac:dyDescent="0.35">
      <c r="A63" s="1"/>
      <c r="B63" s="1"/>
      <c r="C63" s="1"/>
      <c r="D63" s="1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  <c r="AS63" s="1"/>
      <c r="AT63" s="1"/>
      <c r="AU63" s="1"/>
      <c r="AV63" s="1"/>
      <c r="AW63" s="1"/>
    </row>
    <row r="64" spans="1:49" ht="27" x14ac:dyDescent="0.35">
      <c r="A64" s="1"/>
      <c r="B64" s="1"/>
      <c r="C64" s="1"/>
      <c r="D64" s="1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  <c r="AS64" s="1"/>
      <c r="AT64" s="1"/>
      <c r="AU64" s="1"/>
      <c r="AV64" s="1"/>
      <c r="AW64" s="1"/>
    </row>
    <row r="65" spans="1:49" ht="27" x14ac:dyDescent="0.35">
      <c r="A65" s="1"/>
      <c r="B65" s="1"/>
      <c r="C65" s="1"/>
      <c r="D65" s="1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  <c r="AS65" s="1"/>
      <c r="AT65" s="1"/>
      <c r="AU65" s="1"/>
      <c r="AV65" s="1"/>
      <c r="AW65" s="1"/>
    </row>
    <row r="66" spans="1:49" ht="27" x14ac:dyDescent="0.35">
      <c r="A66" s="1"/>
      <c r="B66" s="1"/>
      <c r="C66" s="1"/>
      <c r="D66" s="1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  <c r="AS66" s="1"/>
      <c r="AT66" s="1"/>
      <c r="AU66" s="1"/>
      <c r="AV66" s="1"/>
      <c r="AW66" s="1"/>
    </row>
    <row r="67" spans="1:49" ht="27" x14ac:dyDescent="0.35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</row>
    <row r="68" spans="1:49" ht="27" x14ac:dyDescent="0.35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</row>
    <row r="69" spans="1:49" ht="27" x14ac:dyDescent="0.35">
      <c r="A69" s="1"/>
      <c r="B69" s="1"/>
      <c r="C69" s="1"/>
      <c r="D69" s="1"/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  <c r="AS69" s="1"/>
      <c r="AT69" s="1"/>
      <c r="AU69" s="1"/>
      <c r="AV69" s="1"/>
      <c r="AW69" s="1"/>
    </row>
    <row r="70" spans="1:49" ht="27" x14ac:dyDescent="0.35">
      <c r="A70" s="1"/>
      <c r="B70" s="1"/>
      <c r="C70" s="1"/>
      <c r="D70" s="1"/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  <c r="AS70" s="1"/>
      <c r="AT70" s="1"/>
      <c r="AU70" s="1"/>
      <c r="AV70" s="1"/>
      <c r="AW70" s="1"/>
    </row>
    <row r="71" spans="1:49" ht="27" x14ac:dyDescent="0.35">
      <c r="A71" s="1"/>
      <c r="B71" s="1"/>
      <c r="C71" s="1"/>
      <c r="D71" s="1"/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  <c r="AA71" s="1"/>
      <c r="AB71" s="1"/>
      <c r="AC71" s="1"/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  <c r="AS71" s="1"/>
      <c r="AT71" s="1"/>
      <c r="AU71" s="1"/>
      <c r="AV71" s="1"/>
      <c r="AW71" s="1"/>
    </row>
    <row r="72" spans="1:49" ht="27" x14ac:dyDescent="0.35">
      <c r="A72" s="1"/>
      <c r="B72" s="1"/>
      <c r="C72" s="1"/>
      <c r="D72" s="1"/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  <c r="AS72" s="1"/>
      <c r="AT72" s="1"/>
      <c r="AU72" s="1"/>
      <c r="AV72" s="1"/>
      <c r="AW72" s="1"/>
    </row>
    <row r="73" spans="1:49" ht="27" x14ac:dyDescent="0.35">
      <c r="A73" s="1"/>
      <c r="B73" s="1"/>
      <c r="C73" s="1"/>
      <c r="D73" s="1"/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  <c r="AS73" s="1"/>
      <c r="AT73" s="1"/>
      <c r="AU73" s="1"/>
      <c r="AV73" s="1"/>
      <c r="AW73" s="1"/>
    </row>
    <row r="74" spans="1:49" ht="27" x14ac:dyDescent="0.35">
      <c r="A74" s="1"/>
      <c r="B74" s="1"/>
      <c r="C74" s="1"/>
      <c r="D74" s="1"/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  <c r="AS74" s="1"/>
      <c r="AT74" s="1"/>
      <c r="AU74" s="1"/>
      <c r="AV74" s="1"/>
      <c r="AW74" s="1"/>
    </row>
    <row r="75" spans="1:49" ht="27" x14ac:dyDescent="0.35">
      <c r="A75" s="1"/>
      <c r="B75" s="1"/>
      <c r="C75" s="1"/>
      <c r="D75" s="1"/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  <c r="AS75" s="1"/>
      <c r="AT75" s="1"/>
      <c r="AU75" s="1"/>
      <c r="AV75" s="1"/>
      <c r="AW75" s="1"/>
    </row>
    <row r="76" spans="1:49" ht="27" x14ac:dyDescent="0.35">
      <c r="A76" s="1"/>
      <c r="B76" s="1"/>
      <c r="C76" s="1"/>
      <c r="D76" s="1"/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  <c r="AS76" s="1"/>
      <c r="AT76" s="1"/>
      <c r="AU76" s="1"/>
      <c r="AV76" s="1"/>
      <c r="AW76" s="1"/>
    </row>
    <row r="77" spans="1:49" ht="27" x14ac:dyDescent="0.35">
      <c r="A77" s="1"/>
      <c r="B77" s="1"/>
      <c r="C77" s="1"/>
      <c r="D77" s="1"/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  <c r="AS77" s="1"/>
      <c r="AT77" s="1"/>
      <c r="AU77" s="1"/>
      <c r="AV77" s="1"/>
      <c r="AW77" s="1"/>
    </row>
    <row r="78" spans="1:49" ht="27" x14ac:dyDescent="0.35">
      <c r="A78" s="1"/>
      <c r="B78" s="1"/>
      <c r="C78" s="1"/>
      <c r="D78" s="1"/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  <c r="AS78" s="1"/>
      <c r="AT78" s="1"/>
      <c r="AU78" s="1"/>
      <c r="AV78" s="1"/>
      <c r="AW78" s="1"/>
    </row>
    <row r="79" spans="1:49" ht="27" x14ac:dyDescent="0.35">
      <c r="A79" s="1"/>
      <c r="B79" s="1"/>
      <c r="C79" s="1"/>
      <c r="D79" s="1"/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  <c r="AS79" s="1"/>
      <c r="AT79" s="1"/>
      <c r="AU79" s="1"/>
      <c r="AV79" s="1"/>
      <c r="AW79" s="1"/>
    </row>
    <row r="80" spans="1:49" ht="27" x14ac:dyDescent="0.35">
      <c r="A80" s="1"/>
      <c r="B80" s="1"/>
      <c r="C80" s="1"/>
      <c r="D80" s="1"/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  <c r="AS80" s="1"/>
      <c r="AT80" s="1"/>
      <c r="AU80" s="1"/>
      <c r="AV80" s="1"/>
      <c r="AW80" s="1"/>
    </row>
    <row r="81" spans="1:49" ht="27" x14ac:dyDescent="0.35">
      <c r="A81" s="1"/>
      <c r="B81" s="1"/>
      <c r="C81" s="1"/>
      <c r="D81" s="1"/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  <c r="AS81" s="1"/>
      <c r="AT81" s="1"/>
      <c r="AU81" s="1"/>
      <c r="AV81" s="1"/>
      <c r="AW81" s="1"/>
    </row>
    <row r="82" spans="1:49" ht="27" x14ac:dyDescent="0.35">
      <c r="A82" s="1"/>
      <c r="B82" s="1"/>
      <c r="C82" s="1"/>
      <c r="D82" s="1"/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  <c r="AS82" s="1"/>
      <c r="AT82" s="1"/>
      <c r="AU82" s="1"/>
      <c r="AV82" s="1"/>
      <c r="AW82" s="1"/>
    </row>
    <row r="83" spans="1:49" ht="27" x14ac:dyDescent="0.35">
      <c r="A83" s="1"/>
      <c r="B83" s="1"/>
      <c r="C83" s="1"/>
      <c r="D83" s="1"/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  <c r="AS83" s="1"/>
      <c r="AT83" s="1"/>
      <c r="AU83" s="1"/>
      <c r="AV83" s="1"/>
      <c r="AW83" s="1"/>
    </row>
    <row r="84" spans="1:49" ht="27" x14ac:dyDescent="0.35">
      <c r="A84" s="1"/>
      <c r="B84" s="1"/>
      <c r="C84" s="1"/>
      <c r="D84" s="1"/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</row>
    <row r="85" spans="1:49" ht="27" x14ac:dyDescent="0.35">
      <c r="A85" s="1"/>
      <c r="B85" s="1"/>
      <c r="C85" s="1"/>
      <c r="D85" s="1"/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  <c r="AS85" s="1"/>
      <c r="AT85" s="1"/>
      <c r="AU85" s="1"/>
      <c r="AV85" s="1"/>
      <c r="AW85" s="1"/>
    </row>
    <row r="86" spans="1:49" ht="27" x14ac:dyDescent="0.35">
      <c r="A86" s="1"/>
      <c r="B86" s="1"/>
      <c r="C86" s="1"/>
      <c r="D86" s="1"/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</row>
    <row r="87" spans="1:49" ht="27" x14ac:dyDescent="0.35">
      <c r="A87" s="1"/>
      <c r="B87" s="1"/>
      <c r="C87" s="1"/>
      <c r="D87" s="1"/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  <c r="AS87" s="1"/>
      <c r="AT87" s="1"/>
      <c r="AU87" s="1"/>
      <c r="AV87" s="1"/>
      <c r="AW87" s="1"/>
    </row>
    <row r="88" spans="1:49" ht="27" x14ac:dyDescent="0.35">
      <c r="A88" s="1"/>
      <c r="B88" s="1"/>
      <c r="C88" s="1"/>
      <c r="D88" s="1"/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  <c r="AS88" s="1"/>
      <c r="AT88" s="1"/>
      <c r="AU88" s="1"/>
      <c r="AV88" s="1"/>
      <c r="AW88" s="1"/>
    </row>
    <row r="89" spans="1:49" ht="27" x14ac:dyDescent="0.35">
      <c r="A89" s="1"/>
      <c r="B89" s="1"/>
      <c r="C89" s="1"/>
      <c r="D89" s="1"/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  <c r="AA89" s="1"/>
      <c r="AB89" s="1"/>
      <c r="AC89" s="1"/>
      <c r="AD89" s="1"/>
      <c r="AE89" s="1"/>
      <c r="AF89" s="1"/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  <c r="AS89" s="1"/>
      <c r="AT89" s="1"/>
      <c r="AU89" s="1"/>
      <c r="AV89" s="1"/>
      <c r="AW89" s="1"/>
    </row>
    <row r="90" spans="1:49" ht="27" x14ac:dyDescent="0.35">
      <c r="A90" s="1"/>
      <c r="B90" s="1"/>
      <c r="C90" s="1"/>
      <c r="D90" s="1"/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  <c r="AA90" s="1"/>
      <c r="AB90" s="1"/>
      <c r="AC90" s="1"/>
      <c r="AD90" s="1"/>
      <c r="AE90" s="1"/>
      <c r="AF90" s="1"/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  <c r="AS90" s="1"/>
      <c r="AT90" s="1"/>
      <c r="AU90" s="1"/>
      <c r="AV90" s="1"/>
      <c r="AW90" s="1"/>
    </row>
    <row r="91" spans="1:49" ht="27" x14ac:dyDescent="0.35">
      <c r="A91" s="1"/>
      <c r="B91" s="1"/>
      <c r="C91" s="1"/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  <c r="AA91" s="1"/>
      <c r="AB91" s="1"/>
      <c r="AC91" s="1"/>
      <c r="AD91" s="1"/>
      <c r="AE91" s="1"/>
      <c r="AF91" s="1"/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</row>
    <row r="92" spans="1:49" ht="27" x14ac:dyDescent="0.35">
      <c r="A92" s="1"/>
      <c r="B92" s="1"/>
      <c r="C92" s="1"/>
      <c r="D92" s="1"/>
      <c r="E92" s="1"/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  <c r="AA92" s="1"/>
      <c r="AB92" s="1"/>
      <c r="AC92" s="1"/>
      <c r="AD92" s="1"/>
      <c r="AE92" s="1"/>
      <c r="AF92" s="1"/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  <c r="AS92" s="1"/>
      <c r="AT92" s="1"/>
      <c r="AU92" s="1"/>
      <c r="AV92" s="1"/>
      <c r="AW92" s="1"/>
    </row>
    <row r="93" spans="1:49" ht="27" x14ac:dyDescent="0.35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F93" s="1"/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</row>
    <row r="94" spans="1:49" ht="27" x14ac:dyDescent="0.35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  <c r="AA94" s="1"/>
      <c r="AB94" s="1"/>
      <c r="AC94" s="1"/>
      <c r="AD94" s="1"/>
      <c r="AE94" s="1"/>
      <c r="AF94" s="1"/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  <c r="AS94" s="1"/>
      <c r="AT94" s="1"/>
      <c r="AU94" s="1"/>
      <c r="AV94" s="1"/>
      <c r="AW94" s="1"/>
    </row>
    <row r="95" spans="1:49" ht="27" x14ac:dyDescent="0.35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  <c r="AA95" s="1"/>
      <c r="AB95" s="1"/>
      <c r="AC95" s="1"/>
      <c r="AD95" s="1"/>
      <c r="AE95" s="1"/>
      <c r="AF95" s="1"/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  <c r="AS95" s="1"/>
      <c r="AT95" s="1"/>
      <c r="AU95" s="1"/>
      <c r="AV95" s="1"/>
      <c r="AW95" s="1"/>
    </row>
    <row r="96" spans="1:49" ht="27" x14ac:dyDescent="0.35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  <c r="AA96" s="1"/>
      <c r="AB96" s="1"/>
      <c r="AC96" s="1"/>
      <c r="AD96" s="1"/>
      <c r="AE96" s="1"/>
      <c r="AF96" s="1"/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  <c r="AS96" s="1"/>
      <c r="AT96" s="1"/>
      <c r="AU96" s="1"/>
      <c r="AV96" s="1"/>
      <c r="AW96" s="1"/>
    </row>
    <row r="97" spans="1:49" ht="27" x14ac:dyDescent="0.35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  <c r="AA97" s="1"/>
      <c r="AB97" s="1"/>
      <c r="AC97" s="1"/>
      <c r="AD97" s="1"/>
      <c r="AE97" s="1"/>
      <c r="AF97" s="1"/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  <c r="AS97" s="1"/>
      <c r="AT97" s="1"/>
      <c r="AU97" s="1"/>
      <c r="AV97" s="1"/>
      <c r="AW97" s="1"/>
    </row>
    <row r="98" spans="1:49" ht="27" x14ac:dyDescent="0.35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  <c r="AA98" s="1"/>
      <c r="AB98" s="1"/>
      <c r="AC98" s="1"/>
      <c r="AD98" s="1"/>
      <c r="AE98" s="1"/>
      <c r="AF98" s="1"/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  <c r="AS98" s="1"/>
      <c r="AT98" s="1"/>
      <c r="AU98" s="1"/>
      <c r="AV98" s="1"/>
      <c r="AW98" s="1"/>
    </row>
    <row r="99" spans="1:49" ht="27" x14ac:dyDescent="0.35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  <c r="AA99" s="1"/>
      <c r="AB99" s="1"/>
      <c r="AC99" s="1"/>
      <c r="AD99" s="1"/>
      <c r="AE99" s="1"/>
      <c r="AF99" s="1"/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  <c r="AS99" s="1"/>
      <c r="AT99" s="1"/>
      <c r="AU99" s="1"/>
      <c r="AV99" s="1"/>
      <c r="AW99" s="1"/>
    </row>
    <row r="100" spans="1:49" ht="27" x14ac:dyDescent="0.35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  <c r="AA100" s="1"/>
      <c r="AB100" s="1"/>
      <c r="AC100" s="1"/>
      <c r="AD100" s="1"/>
      <c r="AE100" s="1"/>
      <c r="AF100" s="1"/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  <c r="AS100" s="1"/>
      <c r="AT100" s="1"/>
      <c r="AU100" s="1"/>
      <c r="AV100" s="1"/>
      <c r="AW100" s="1"/>
    </row>
    <row r="101" spans="1:49" ht="27" x14ac:dyDescent="0.35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  <c r="AA101" s="1"/>
      <c r="AB101" s="1"/>
      <c r="AC101" s="1"/>
      <c r="AD101" s="1"/>
      <c r="AE101" s="1"/>
      <c r="AF101" s="1"/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  <c r="AS101" s="1"/>
      <c r="AT101" s="1"/>
      <c r="AU101" s="1"/>
      <c r="AV101" s="1"/>
      <c r="AW101" s="1"/>
    </row>
    <row r="102" spans="1:49" ht="27" x14ac:dyDescent="0.35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  <c r="AA102" s="1"/>
      <c r="AB102" s="1"/>
      <c r="AC102" s="1"/>
      <c r="AD102" s="1"/>
      <c r="AE102" s="1"/>
      <c r="AF102" s="1"/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  <c r="AS102" s="1"/>
      <c r="AT102" s="1"/>
      <c r="AU102" s="1"/>
      <c r="AV102" s="1"/>
      <c r="AW102" s="1"/>
    </row>
    <row r="103" spans="1:49" ht="27" x14ac:dyDescent="0.35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  <c r="AA103" s="1"/>
      <c r="AB103" s="1"/>
      <c r="AC103" s="1"/>
      <c r="AD103" s="1"/>
      <c r="AE103" s="1"/>
      <c r="AF103" s="1"/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  <c r="AS103" s="1"/>
      <c r="AT103" s="1"/>
      <c r="AU103" s="1"/>
      <c r="AV103" s="1"/>
      <c r="AW103" s="1"/>
    </row>
    <row r="104" spans="1:49" ht="27" x14ac:dyDescent="0.35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  <c r="AA104" s="1"/>
      <c r="AB104" s="1"/>
      <c r="AC104" s="1"/>
      <c r="AD104" s="1"/>
      <c r="AE104" s="1"/>
      <c r="AF104" s="1"/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  <c r="AS104" s="1"/>
      <c r="AT104" s="1"/>
      <c r="AU104" s="1"/>
      <c r="AV104" s="1"/>
      <c r="AW104" s="1"/>
    </row>
    <row r="105" spans="1:49" ht="27" x14ac:dyDescent="0.35"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  <c r="AA105" s="1"/>
      <c r="AB105" s="1"/>
      <c r="AC105" s="1"/>
      <c r="AD105" s="1"/>
      <c r="AE105" s="1"/>
      <c r="AF105" s="1"/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  <c r="AS105" s="1"/>
      <c r="AT105" s="1"/>
      <c r="AU105" s="1"/>
      <c r="AV105" s="1"/>
      <c r="AW105" s="1"/>
    </row>
    <row r="106" spans="1:49" ht="27" x14ac:dyDescent="0.35"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  <c r="AA106" s="1"/>
      <c r="AB106" s="1"/>
      <c r="AC106" s="1"/>
      <c r="AD106" s="1"/>
      <c r="AE106" s="1"/>
      <c r="AF106" s="1"/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  <c r="AS106" s="1"/>
      <c r="AT106" s="1"/>
      <c r="AU106" s="1"/>
      <c r="AV106" s="1"/>
      <c r="AW106" s="1"/>
    </row>
    <row r="107" spans="1:49" ht="27" x14ac:dyDescent="0.35"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  <c r="AA107" s="1"/>
      <c r="AB107" s="1"/>
      <c r="AC107" s="1"/>
      <c r="AD107" s="1"/>
      <c r="AE107" s="1"/>
      <c r="AF107" s="1"/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  <c r="AS107" s="1"/>
      <c r="AT107" s="1"/>
      <c r="AU107" s="1"/>
      <c r="AV107" s="1"/>
      <c r="AW107" s="1"/>
    </row>
    <row r="108" spans="1:49" ht="27" x14ac:dyDescent="0.35"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  <c r="AA108" s="1"/>
      <c r="AB108" s="1"/>
      <c r="AC108" s="1"/>
      <c r="AD108" s="1"/>
      <c r="AE108" s="1"/>
      <c r="AF108" s="1"/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  <c r="AS108" s="1"/>
      <c r="AT108" s="1"/>
      <c r="AU108" s="1"/>
      <c r="AV108" s="1"/>
      <c r="AW108" s="1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D210BE-26F1-4478-94AC-BBAF3FB07750}">
  <dimension ref="A1:B9"/>
  <sheetViews>
    <sheetView workbookViewId="0">
      <selection activeCell="B10" sqref="B10"/>
    </sheetView>
  </sheetViews>
  <sheetFormatPr baseColWidth="10" defaultRowHeight="16" x14ac:dyDescent="0.2"/>
  <sheetData>
    <row r="1" spans="1:2" ht="17" x14ac:dyDescent="0.2">
      <c r="A1" s="15" t="s">
        <v>62</v>
      </c>
      <c r="B1" s="15" t="s">
        <v>63</v>
      </c>
    </row>
    <row r="2" spans="1:2" ht="17" x14ac:dyDescent="0.2">
      <c r="A2" s="11" t="s">
        <v>37</v>
      </c>
      <c r="B2" s="11">
        <v>25</v>
      </c>
    </row>
    <row r="3" spans="1:2" ht="17" x14ac:dyDescent="0.2">
      <c r="A3" s="11" t="s">
        <v>6</v>
      </c>
      <c r="B3" s="11">
        <v>18</v>
      </c>
    </row>
    <row r="4" spans="1:2" ht="17" x14ac:dyDescent="0.2">
      <c r="A4" s="11" t="s">
        <v>64</v>
      </c>
      <c r="B4" s="11">
        <v>12</v>
      </c>
    </row>
    <row r="5" spans="1:2" ht="17" x14ac:dyDescent="0.2">
      <c r="A5" s="11" t="s">
        <v>65</v>
      </c>
      <c r="B5" s="11">
        <v>5</v>
      </c>
    </row>
    <row r="6" spans="1:2" ht="17" x14ac:dyDescent="0.2">
      <c r="A6" s="11" t="s">
        <v>18</v>
      </c>
      <c r="B6" s="11">
        <v>1</v>
      </c>
    </row>
    <row r="7" spans="1:2" ht="17" x14ac:dyDescent="0.2">
      <c r="A7" s="11" t="s">
        <v>11</v>
      </c>
      <c r="B7" s="11">
        <v>14</v>
      </c>
    </row>
    <row r="8" spans="1:2" ht="17" x14ac:dyDescent="0.2">
      <c r="A8" s="11" t="s">
        <v>67</v>
      </c>
      <c r="B8" s="11">
        <v>11</v>
      </c>
    </row>
    <row r="9" spans="1:2" x14ac:dyDescent="0.2">
      <c r="A9" s="11"/>
      <c r="B9" s="11"/>
    </row>
  </sheetData>
  <pageMargins left="0.7" right="0.7" top="0.75" bottom="0.75" header="0.3" footer="0.3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2FCEFE-8C38-437F-82A3-0428924F98D5}">
  <dimension ref="A1:D10"/>
  <sheetViews>
    <sheetView workbookViewId="0">
      <selection sqref="A1:D10"/>
    </sheetView>
  </sheetViews>
  <sheetFormatPr baseColWidth="10" defaultRowHeight="16" x14ac:dyDescent="0.2"/>
  <cols>
    <col min="1" max="1" width="11.5" bestFit="1" customWidth="1"/>
    <col min="2" max="2" width="5.83203125" bestFit="1" customWidth="1"/>
    <col min="3" max="3" width="6.1640625" bestFit="1" customWidth="1"/>
    <col min="4" max="4" width="16" bestFit="1" customWidth="1"/>
  </cols>
  <sheetData>
    <row r="1" spans="1:4" x14ac:dyDescent="0.2">
      <c r="A1" t="s">
        <v>38</v>
      </c>
      <c r="B1" t="s">
        <v>39</v>
      </c>
      <c r="C1" t="s">
        <v>40</v>
      </c>
      <c r="D1" t="s">
        <v>55</v>
      </c>
    </row>
    <row r="2" spans="1:4" x14ac:dyDescent="0.2">
      <c r="A2" t="s">
        <v>12</v>
      </c>
      <c r="B2" t="s">
        <v>42</v>
      </c>
      <c r="C2">
        <v>2024</v>
      </c>
      <c r="D2">
        <v>-1.34293072157739</v>
      </c>
    </row>
    <row r="3" spans="1:4" hidden="1" x14ac:dyDescent="0.2">
      <c r="A3" t="s">
        <v>12</v>
      </c>
      <c r="B3" t="s">
        <v>42</v>
      </c>
      <c r="C3">
        <v>2023</v>
      </c>
      <c r="D3">
        <v>-1.85578803046339</v>
      </c>
    </row>
    <row r="4" spans="1:4" hidden="1" x14ac:dyDescent="0.2">
      <c r="A4" t="s">
        <v>12</v>
      </c>
      <c r="B4" t="s">
        <v>42</v>
      </c>
      <c r="C4">
        <v>2022</v>
      </c>
      <c r="D4">
        <v>6.0207453753485503</v>
      </c>
    </row>
    <row r="5" spans="1:4" x14ac:dyDescent="0.2">
      <c r="A5" t="s">
        <v>44</v>
      </c>
      <c r="B5" t="s">
        <v>45</v>
      </c>
      <c r="C5">
        <v>2024</v>
      </c>
      <c r="D5">
        <v>3.1082547806617198</v>
      </c>
    </row>
    <row r="6" spans="1:4" hidden="1" x14ac:dyDescent="0.2">
      <c r="A6" t="s">
        <v>44</v>
      </c>
      <c r="B6" t="s">
        <v>45</v>
      </c>
      <c r="C6">
        <v>2023</v>
      </c>
      <c r="D6">
        <v>0.74212878531592696</v>
      </c>
    </row>
    <row r="7" spans="1:4" hidden="1" x14ac:dyDescent="0.2">
      <c r="A7" t="s">
        <v>44</v>
      </c>
      <c r="B7" t="s">
        <v>45</v>
      </c>
      <c r="C7">
        <v>2022</v>
      </c>
      <c r="D7">
        <v>4.4862270307207304</v>
      </c>
    </row>
    <row r="8" spans="1:4" x14ac:dyDescent="0.2">
      <c r="A8" t="s">
        <v>43</v>
      </c>
      <c r="B8" t="s">
        <v>7</v>
      </c>
      <c r="C8">
        <v>2024</v>
      </c>
      <c r="D8">
        <v>2.7930012771677899</v>
      </c>
    </row>
    <row r="9" spans="1:4" hidden="1" x14ac:dyDescent="0.2">
      <c r="A9" t="s">
        <v>43</v>
      </c>
      <c r="B9" t="s">
        <v>7</v>
      </c>
      <c r="C9">
        <v>2023</v>
      </c>
      <c r="D9">
        <v>2.8875560074948701</v>
      </c>
    </row>
    <row r="10" spans="1:4" hidden="1" x14ac:dyDescent="0.2">
      <c r="A10" t="s">
        <v>43</v>
      </c>
      <c r="B10" t="s">
        <v>7</v>
      </c>
      <c r="C10">
        <v>2022</v>
      </c>
      <c r="D10">
        <v>2.5123753198601699</v>
      </c>
    </row>
  </sheetData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42D47C-2A34-4917-BE15-D40484FCDB06}">
  <dimension ref="A1:H4"/>
  <sheetViews>
    <sheetView workbookViewId="0">
      <selection activeCell="H1" sqref="H1"/>
    </sheetView>
  </sheetViews>
  <sheetFormatPr baseColWidth="10" defaultRowHeight="16" x14ac:dyDescent="0.2"/>
  <cols>
    <col min="1" max="1" width="11.5" bestFit="1" customWidth="1"/>
    <col min="2" max="2" width="5.83203125" bestFit="1" customWidth="1"/>
    <col min="3" max="3" width="6.1640625" bestFit="1" customWidth="1"/>
    <col min="4" max="4" width="12" bestFit="1" customWidth="1"/>
    <col min="5" max="5" width="23.6640625" bestFit="1" customWidth="1"/>
    <col min="6" max="6" width="16" bestFit="1" customWidth="1"/>
    <col min="7" max="7" width="12" bestFit="1" customWidth="1"/>
    <col min="8" max="8" width="21.5" customWidth="1"/>
  </cols>
  <sheetData>
    <row r="1" spans="1:8" ht="45.75" customHeight="1" x14ac:dyDescent="0.2">
      <c r="A1" t="s">
        <v>38</v>
      </c>
      <c r="B1" t="s">
        <v>39</v>
      </c>
      <c r="C1" t="s">
        <v>40</v>
      </c>
      <c r="D1" t="s">
        <v>41</v>
      </c>
      <c r="E1" t="s">
        <v>55</v>
      </c>
      <c r="F1" t="s">
        <v>56</v>
      </c>
      <c r="G1" s="10" t="s">
        <v>57</v>
      </c>
      <c r="H1" t="s">
        <v>61</v>
      </c>
    </row>
    <row r="2" spans="1:8" x14ac:dyDescent="0.2">
      <c r="A2" t="s">
        <v>12</v>
      </c>
      <c r="B2" t="s">
        <v>42</v>
      </c>
      <c r="C2">
        <v>2024</v>
      </c>
      <c r="D2">
        <v>219.883929014578</v>
      </c>
      <c r="E2">
        <v>-1.34293072157739</v>
      </c>
      <c r="F2" s="12">
        <f>MAX(0,MIN(100,100-(FP_CPI_TOTL[[#This Row],[Inflacion]]*1)))</f>
        <v>0</v>
      </c>
      <c r="G2">
        <f>MAX(0,MIN(100,50+(FP_CPI_TOTL[[#This Row],[CrecimientoPBI]]*10)))</f>
        <v>36.570692784226097</v>
      </c>
      <c r="H2">
        <f>FP_CPI_TOTL[[#This Row],[Score Inflacion]]*0.5 + FP_CPI_TOTL[[#This Row],[Score Pbi]]*0.5</f>
        <v>18.285346392113048</v>
      </c>
    </row>
    <row r="3" spans="1:8" x14ac:dyDescent="0.2">
      <c r="A3" t="s">
        <v>43</v>
      </c>
      <c r="B3" t="s">
        <v>7</v>
      </c>
      <c r="C3">
        <v>2024</v>
      </c>
      <c r="D3">
        <v>2.9495252048520699</v>
      </c>
      <c r="E3">
        <v>2.7930012771677899</v>
      </c>
      <c r="F3">
        <f>MAX(0,MIN(100,100-(FP_CPI_TOTL[[#This Row],[Inflacion]]*1)))</f>
        <v>97.050474795147935</v>
      </c>
      <c r="G3">
        <f>MAX(0,MIN(100,50+(FP_CPI_TOTL[[#This Row],[CrecimientoPBI]]*10)))</f>
        <v>77.930012771677895</v>
      </c>
      <c r="H3">
        <f>FP_CPI_TOTL[[#This Row],[Score Inflacion]]*0.5 + FP_CPI_TOTL[[#This Row],[Score Pbi]]*0.5</f>
        <v>87.490243783412922</v>
      </c>
    </row>
    <row r="4" spans="1:8" x14ac:dyDescent="0.2">
      <c r="A4" t="s">
        <v>44</v>
      </c>
      <c r="B4" t="s">
        <v>45</v>
      </c>
      <c r="C4">
        <v>2024</v>
      </c>
      <c r="D4">
        <v>4.8491436661315603</v>
      </c>
      <c r="E4">
        <v>3.1082547806617198</v>
      </c>
      <c r="F4">
        <f>MAX(0,MIN(100,100-(FP_CPI_TOTL[[#This Row],[Inflacion]]*1)))</f>
        <v>95.150856333868433</v>
      </c>
      <c r="G4">
        <f>MAX(0,MIN(100,50+(FP_CPI_TOTL[[#This Row],[CrecimientoPBI]]*10)))</f>
        <v>81.0825478066172</v>
      </c>
      <c r="H4">
        <f>FP_CPI_TOTL[[#This Row],[Score Inflacion]]*0.5 + FP_CPI_TOTL[[#This Row],[Score Pbi]]*0.5</f>
        <v>88.116702070242809</v>
      </c>
    </row>
  </sheetData>
  <phoneticPr fontId="4" type="noConversion"/>
  <pageMargins left="0.7" right="0.7" top="0.75" bottom="0.75" header="0.3" footer="0.3"/>
  <pageSetup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DDFCFB-6515-5746-9981-8EB171908EE9}">
  <dimension ref="A1:D15"/>
  <sheetViews>
    <sheetView zoomScale="130" zoomScaleNormal="130" workbookViewId="0">
      <selection activeCell="A2" sqref="A2"/>
    </sheetView>
  </sheetViews>
  <sheetFormatPr baseColWidth="10" defaultRowHeight="16" x14ac:dyDescent="0.2"/>
  <cols>
    <col min="1" max="1" width="16.83203125" bestFit="1" customWidth="1"/>
    <col min="2" max="2" width="19.1640625" bestFit="1" customWidth="1"/>
    <col min="4" max="4" width="21" bestFit="1" customWidth="1"/>
  </cols>
  <sheetData>
    <row r="1" spans="1:4" x14ac:dyDescent="0.2">
      <c r="A1" s="3" t="s">
        <v>20</v>
      </c>
      <c r="B1" t="s">
        <v>22</v>
      </c>
    </row>
    <row r="2" spans="1:4" x14ac:dyDescent="0.2">
      <c r="A2" s="4" t="s">
        <v>12</v>
      </c>
      <c r="B2" s="5">
        <v>0.8995215311004785</v>
      </c>
    </row>
    <row r="3" spans="1:4" x14ac:dyDescent="0.2">
      <c r="A3" s="4" t="s">
        <v>7</v>
      </c>
      <c r="B3" s="5">
        <v>0.10047846889952153</v>
      </c>
      <c r="D3" s="6" t="s">
        <v>23</v>
      </c>
    </row>
    <row r="4" spans="1:4" x14ac:dyDescent="0.2">
      <c r="A4" s="4" t="s">
        <v>21</v>
      </c>
      <c r="B4" s="5">
        <v>1</v>
      </c>
      <c r="D4">
        <f>GETPIVOTDATA("Valor en USD",$A$3,"País","Argentina")^2+GETPIVOTDATA("Valor en USD",$A$3,"País","USA")^2</f>
        <v>0.81923490762574125</v>
      </c>
    </row>
    <row r="9" spans="1:4" x14ac:dyDescent="0.2">
      <c r="A9" s="3" t="s">
        <v>20</v>
      </c>
      <c r="B9" t="s">
        <v>22</v>
      </c>
    </row>
    <row r="10" spans="1:4" x14ac:dyDescent="0.2">
      <c r="A10" s="4" t="s">
        <v>18</v>
      </c>
      <c r="B10" s="5">
        <v>0.74162679425837319</v>
      </c>
    </row>
    <row r="11" spans="1:4" x14ac:dyDescent="0.2">
      <c r="A11" s="4" t="s">
        <v>6</v>
      </c>
      <c r="B11" s="5">
        <v>7.1770334928229665E-2</v>
      </c>
      <c r="D11" s="6" t="s">
        <v>23</v>
      </c>
    </row>
    <row r="12" spans="1:4" x14ac:dyDescent="0.2">
      <c r="A12" s="4" t="s">
        <v>11</v>
      </c>
      <c r="B12" s="5">
        <v>0.14354066985645933</v>
      </c>
      <c r="D12">
        <f>GETPIVOTDATA("Valor en USD",$A$11,"Tipo","Cash")^2+GETPIVOTDATA("Valor en USD",$A$11,"Tipo","ETF")^2+GETPIVOTDATA("Valor en USD",$A$11,"Tipo","Inmueble")^2+GETPIVOTDATA("Valor en USD",$A$11,"Tipo","Renta fija")^2</f>
        <v>0.57723037476248262</v>
      </c>
    </row>
    <row r="13" spans="1:4" x14ac:dyDescent="0.2">
      <c r="A13" s="4" t="s">
        <v>15</v>
      </c>
      <c r="B13" s="5">
        <v>3.8277511961722487E-2</v>
      </c>
    </row>
    <row r="14" spans="1:4" x14ac:dyDescent="0.2">
      <c r="A14" s="4" t="s">
        <v>37</v>
      </c>
      <c r="B14" s="5">
        <v>4.7846889952153108E-3</v>
      </c>
    </row>
    <row r="15" spans="1:4" x14ac:dyDescent="0.2">
      <c r="A15" s="4" t="s">
        <v>21</v>
      </c>
      <c r="B15" s="5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8C3FAA-3860-5041-9330-0FC7010FFE91}">
  <dimension ref="A1:V49"/>
  <sheetViews>
    <sheetView workbookViewId="0">
      <selection activeCell="B5" sqref="B5"/>
    </sheetView>
  </sheetViews>
  <sheetFormatPr baseColWidth="10" defaultRowHeight="16" x14ac:dyDescent="0.2"/>
  <cols>
    <col min="1" max="1" width="27.33203125" bestFit="1" customWidth="1"/>
    <col min="2" max="2" width="20" bestFit="1" customWidth="1"/>
    <col min="3" max="3" width="53.6640625" bestFit="1" customWidth="1"/>
  </cols>
  <sheetData>
    <row r="1" spans="1:22" ht="27" x14ac:dyDescent="0.35">
      <c r="A1" s="2" t="s">
        <v>24</v>
      </c>
      <c r="B1" s="1">
        <f>Tablas!D4</f>
        <v>0.81923490762574125</v>
      </c>
      <c r="C1" s="2" t="s">
        <v>28</v>
      </c>
      <c r="D1" s="1">
        <f>IF(B1&gt;0.4,30,IF(B1&gt;0.25,15,0))</f>
        <v>30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</row>
    <row r="2" spans="1:22" ht="27" x14ac:dyDescent="0.35">
      <c r="A2" s="2" t="s">
        <v>25</v>
      </c>
      <c r="B2" s="1">
        <f>+Tablas!D12</f>
        <v>0.57723037476248262</v>
      </c>
      <c r="C2" s="2" t="s">
        <v>29</v>
      </c>
      <c r="D2" s="1">
        <f>IF(B2&gt;0.3,20,IF(B2&gt;0.2,10,0))</f>
        <v>20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ht="27" x14ac:dyDescent="0.35">
      <c r="A3" s="2" t="s">
        <v>26</v>
      </c>
      <c r="B3" s="7">
        <f>MAX(Tablas!B2:B3)</f>
        <v>0.8995215311004785</v>
      </c>
      <c r="C3" s="2" t="s">
        <v>30</v>
      </c>
      <c r="D3" s="1">
        <f>IF(B3&gt;0.6,15,0)</f>
        <v>15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</row>
    <row r="4" spans="1:22" ht="27" x14ac:dyDescent="0.35">
      <c r="A4" s="2" t="s">
        <v>27</v>
      </c>
      <c r="B4" s="7">
        <f>MAX(Tablas!B10:B13)</f>
        <v>0.74162679425837319</v>
      </c>
      <c r="C4" s="2" t="s">
        <v>31</v>
      </c>
      <c r="D4" s="1">
        <f>IF(B4&gt;0.5,15,0)</f>
        <v>15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</row>
    <row r="5" spans="1:22" ht="27" x14ac:dyDescent="0.35">
      <c r="A5" s="1"/>
      <c r="B5" s="1"/>
      <c r="C5" s="8" t="s">
        <v>32</v>
      </c>
      <c r="D5" s="1">
        <f>100-D1-D2-D3-D4</f>
        <v>20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</row>
    <row r="6" spans="1:22" ht="27" x14ac:dyDescent="0.35">
      <c r="A6" s="1"/>
      <c r="B6" s="1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</row>
    <row r="7" spans="1:22" ht="27" x14ac:dyDescent="0.35">
      <c r="A7" s="1"/>
      <c r="B7" s="1"/>
      <c r="C7" s="8" t="s">
        <v>33</v>
      </c>
      <c r="D7" s="9">
        <f>+D5*1/100</f>
        <v>0.2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</row>
    <row r="8" spans="1:22" ht="27" x14ac:dyDescent="0.35">
      <c r="A8" s="1"/>
      <c r="B8" s="1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</row>
    <row r="9" spans="1:22" ht="27" x14ac:dyDescent="0.35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</row>
    <row r="10" spans="1:22" ht="27" x14ac:dyDescent="0.35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</row>
    <row r="11" spans="1:22" ht="27" x14ac:dyDescent="0.3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</row>
    <row r="12" spans="1:22" ht="27" x14ac:dyDescent="0.3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</row>
    <row r="13" spans="1:22" ht="27" x14ac:dyDescent="0.3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</row>
    <row r="14" spans="1:22" ht="27" x14ac:dyDescent="0.3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</row>
    <row r="15" spans="1:22" ht="27" x14ac:dyDescent="0.35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</row>
    <row r="16" spans="1:22" ht="27" x14ac:dyDescent="0.35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</row>
    <row r="17" spans="1:22" ht="27" x14ac:dyDescent="0.35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</row>
    <row r="18" spans="1:22" ht="27" x14ac:dyDescent="0.35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</row>
    <row r="19" spans="1:22" ht="27" x14ac:dyDescent="0.35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7" x14ac:dyDescent="0.35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7" x14ac:dyDescent="0.35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 ht="27" x14ac:dyDescent="0.35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  <row r="23" spans="1:22" ht="27" x14ac:dyDescent="0.35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</row>
    <row r="24" spans="1:22" ht="27" x14ac:dyDescent="0.35">
      <c r="A24" s="1"/>
      <c r="B24" s="1"/>
      <c r="C24" s="1"/>
      <c r="D24" s="1"/>
      <c r="E24" s="1"/>
      <c r="F24" s="1"/>
      <c r="G24" s="1"/>
      <c r="H24" s="1"/>
      <c r="I24" s="1"/>
      <c r="J24" s="1"/>
      <c r="K24" s="1"/>
      <c r="L24" s="1"/>
      <c r="M24" s="1"/>
      <c r="N24" s="1"/>
      <c r="O24" s="1"/>
      <c r="P24" s="1"/>
      <c r="Q24" s="1"/>
      <c r="R24" s="1"/>
      <c r="S24" s="1"/>
      <c r="T24" s="1"/>
      <c r="U24" s="1"/>
      <c r="V24" s="1"/>
    </row>
    <row r="25" spans="1:22" ht="27" x14ac:dyDescent="0.35">
      <c r="A25" s="1"/>
      <c r="B25" s="1"/>
      <c r="C25" s="1"/>
      <c r="D25" s="1"/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  <c r="Q25" s="1"/>
      <c r="R25" s="1"/>
      <c r="S25" s="1"/>
      <c r="T25" s="1"/>
      <c r="U25" s="1"/>
      <c r="V25" s="1"/>
    </row>
    <row r="26" spans="1:22" ht="27" x14ac:dyDescent="0.35">
      <c r="A26" s="1"/>
      <c r="B26" s="1"/>
      <c r="C26" s="1"/>
      <c r="D26" s="1"/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</row>
    <row r="27" spans="1:22" ht="27" x14ac:dyDescent="0.35">
      <c r="A27" s="1"/>
      <c r="B27" s="1"/>
      <c r="C27" s="1"/>
      <c r="D27" s="1"/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  <c r="Q27" s="1"/>
      <c r="R27" s="1"/>
      <c r="S27" s="1"/>
      <c r="T27" s="1"/>
      <c r="U27" s="1"/>
      <c r="V27" s="1"/>
    </row>
    <row r="28" spans="1:22" ht="27" x14ac:dyDescent="0.35">
      <c r="A28" s="1"/>
      <c r="B28" s="1"/>
      <c r="C28" s="1"/>
      <c r="D28" s="1"/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</row>
    <row r="29" spans="1:22" ht="27" x14ac:dyDescent="0.35">
      <c r="A29" s="1"/>
      <c r="B29" s="1"/>
      <c r="C29" s="1"/>
      <c r="D29" s="1"/>
      <c r="E29" s="1"/>
      <c r="F29" s="1"/>
      <c r="G29" s="1"/>
      <c r="H29" s="1"/>
      <c r="I29" s="1"/>
      <c r="J29" s="1"/>
      <c r="K29" s="1"/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</row>
    <row r="30" spans="1:22" ht="27" x14ac:dyDescent="0.35">
      <c r="A30" s="1"/>
      <c r="B30" s="1"/>
      <c r="C30" s="1"/>
      <c r="D30" s="1"/>
      <c r="E30" s="1"/>
      <c r="F30" s="1"/>
      <c r="G30" s="1"/>
      <c r="H30" s="1"/>
      <c r="I30" s="1"/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</row>
    <row r="31" spans="1:22" ht="27" x14ac:dyDescent="0.35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</row>
    <row r="32" spans="1:22" ht="27" x14ac:dyDescent="0.35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</row>
    <row r="33" spans="1:22" ht="27" x14ac:dyDescent="0.35">
      <c r="A33" s="1"/>
      <c r="B33" s="1"/>
      <c r="C33" s="1"/>
      <c r="D33" s="1"/>
      <c r="E33" s="1"/>
      <c r="F33" s="1"/>
      <c r="G33" s="1"/>
      <c r="H33" s="1"/>
      <c r="I33" s="1"/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</row>
    <row r="34" spans="1:22" ht="27" x14ac:dyDescent="0.35">
      <c r="A34" s="1"/>
      <c r="B34" s="1"/>
      <c r="C34" s="1"/>
      <c r="D34" s="1"/>
      <c r="E34" s="1"/>
      <c r="F34" s="1"/>
      <c r="G34" s="1"/>
      <c r="H34" s="1"/>
      <c r="I34" s="1"/>
      <c r="J34" s="1"/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</row>
    <row r="35" spans="1:22" ht="27" x14ac:dyDescent="0.35">
      <c r="A35" s="1"/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</row>
    <row r="36" spans="1:22" ht="27" x14ac:dyDescent="0.35">
      <c r="A36" s="1"/>
      <c r="B36" s="1"/>
      <c r="C36" s="1"/>
      <c r="D36" s="1"/>
      <c r="E36" s="1"/>
      <c r="F36" s="1"/>
      <c r="G36" s="1"/>
      <c r="H36" s="1"/>
      <c r="I36" s="1"/>
      <c r="J36" s="1"/>
      <c r="K36" s="1"/>
      <c r="L36" s="1"/>
      <c r="M36" s="1"/>
      <c r="N36" s="1"/>
      <c r="O36" s="1"/>
      <c r="P36" s="1"/>
      <c r="Q36" s="1"/>
      <c r="R36" s="1"/>
      <c r="S36" s="1"/>
      <c r="T36" s="1"/>
      <c r="U36" s="1"/>
      <c r="V36" s="1"/>
    </row>
    <row r="37" spans="1:22" ht="27" x14ac:dyDescent="0.35">
      <c r="A37" s="1"/>
      <c r="B37" s="1"/>
      <c r="C37" s="1"/>
      <c r="D37" s="1"/>
      <c r="E37" s="1"/>
      <c r="F37" s="1"/>
      <c r="G37" s="1"/>
      <c r="H37" s="1"/>
      <c r="I37" s="1"/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</row>
    <row r="38" spans="1:22" ht="27" x14ac:dyDescent="0.35">
      <c r="A38" s="1"/>
      <c r="B38" s="1"/>
      <c r="C38" s="1"/>
      <c r="D38" s="1"/>
      <c r="E38" s="1"/>
      <c r="F38" s="1"/>
      <c r="G38" s="1"/>
      <c r="H38" s="1"/>
      <c r="I38" s="1"/>
      <c r="J38" s="1"/>
      <c r="K38" s="1"/>
      <c r="L38" s="1"/>
      <c r="M38" s="1"/>
      <c r="N38" s="1"/>
      <c r="O38" s="1"/>
      <c r="P38" s="1"/>
      <c r="Q38" s="1"/>
      <c r="R38" s="1"/>
      <c r="S38" s="1"/>
      <c r="T38" s="1"/>
      <c r="U38" s="1"/>
      <c r="V38" s="1"/>
    </row>
    <row r="39" spans="1:22" ht="27" x14ac:dyDescent="0.35">
      <c r="A39" s="1"/>
      <c r="B39" s="1"/>
      <c r="C39" s="1"/>
      <c r="D39" s="1"/>
      <c r="E39" s="1"/>
      <c r="F39" s="1"/>
      <c r="G39" s="1"/>
      <c r="H39" s="1"/>
      <c r="I39" s="1"/>
      <c r="J39" s="1"/>
      <c r="K39" s="1"/>
      <c r="L39" s="1"/>
      <c r="M39" s="1"/>
      <c r="N39" s="1"/>
      <c r="O39" s="1"/>
      <c r="P39" s="1"/>
      <c r="Q39" s="1"/>
      <c r="R39" s="1"/>
      <c r="S39" s="1"/>
      <c r="T39" s="1"/>
      <c r="U39" s="1"/>
      <c r="V39" s="1"/>
    </row>
    <row r="40" spans="1:22" ht="27" x14ac:dyDescent="0.35">
      <c r="A40" s="1"/>
      <c r="B40" s="1"/>
      <c r="C40" s="1"/>
      <c r="D40" s="1"/>
      <c r="E40" s="1"/>
      <c r="F40" s="1"/>
      <c r="G40" s="1"/>
      <c r="H40" s="1"/>
      <c r="I40" s="1"/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</row>
    <row r="41" spans="1:22" ht="27" x14ac:dyDescent="0.35">
      <c r="A41" s="1"/>
      <c r="B41" s="1"/>
      <c r="C41" s="1"/>
      <c r="D41" s="1"/>
      <c r="E41" s="1"/>
      <c r="F41" s="1"/>
      <c r="G41" s="1"/>
      <c r="H41" s="1"/>
      <c r="I41" s="1"/>
      <c r="J41" s="1"/>
      <c r="K41" s="1"/>
      <c r="L41" s="1"/>
      <c r="M41" s="1"/>
      <c r="N41" s="1"/>
      <c r="O41" s="1"/>
      <c r="P41" s="1"/>
      <c r="Q41" s="1"/>
      <c r="R41" s="1"/>
      <c r="S41" s="1"/>
      <c r="T41" s="1"/>
      <c r="U41" s="1"/>
      <c r="V41" s="1"/>
    </row>
    <row r="42" spans="1:22" ht="27" x14ac:dyDescent="0.35">
      <c r="A42" s="1"/>
      <c r="B42" s="1"/>
      <c r="C42" s="1"/>
      <c r="D42" s="1"/>
      <c r="E42" s="1"/>
      <c r="F42" s="1"/>
      <c r="G42" s="1"/>
      <c r="H42" s="1"/>
      <c r="I42" s="1"/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</row>
    <row r="43" spans="1:22" ht="27" x14ac:dyDescent="0.35">
      <c r="A43" s="1"/>
      <c r="B43" s="1"/>
      <c r="C43" s="1"/>
      <c r="D43" s="1"/>
      <c r="E43" s="1"/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</row>
    <row r="44" spans="1:22" ht="27" x14ac:dyDescent="0.35">
      <c r="A44" s="1"/>
      <c r="B44" s="1"/>
      <c r="C44" s="1"/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</row>
    <row r="45" spans="1:22" ht="27" x14ac:dyDescent="0.35">
      <c r="A45" s="1"/>
      <c r="B45" s="1"/>
      <c r="C45" s="1"/>
      <c r="D45" s="1"/>
      <c r="E45" s="1"/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</row>
    <row r="46" spans="1:22" ht="27" x14ac:dyDescent="0.35">
      <c r="A46" s="1"/>
      <c r="B46" s="1"/>
      <c r="C46" s="1"/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</row>
    <row r="47" spans="1:22" ht="27" x14ac:dyDescent="0.35">
      <c r="A47" s="1"/>
      <c r="B47" s="1"/>
      <c r="C47" s="1"/>
      <c r="D47" s="1"/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</row>
    <row r="48" spans="1:22" ht="27" x14ac:dyDescent="0.35">
      <c r="A48" s="1"/>
      <c r="B48" s="1"/>
      <c r="C48" s="1"/>
      <c r="D48" s="1"/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</row>
    <row r="49" spans="1:22" ht="27" x14ac:dyDescent="0.35">
      <c r="A49" s="1"/>
      <c r="B49" s="1"/>
      <c r="C49" s="1"/>
      <c r="D49" s="1"/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209654FC-C53A-4B86-9923-CA0798AE6A9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8</vt:i4>
      </vt:variant>
    </vt:vector>
  </HeadingPairs>
  <TitlesOfParts>
    <vt:vector size="8" baseType="lpstr">
      <vt:lpstr>InputActivos</vt:lpstr>
      <vt:lpstr>Resumen</vt:lpstr>
      <vt:lpstr>PerfilCliente</vt:lpstr>
      <vt:lpstr>Parametros</vt:lpstr>
      <vt:lpstr>WB_PBI</vt:lpstr>
      <vt:lpstr>FP CPI TOTL</vt:lpstr>
      <vt:lpstr>Tablas</vt:lpstr>
      <vt:lpstr>Score diversificacion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Marcos Delgui</dc:creator>
  <cp:lastModifiedBy>Marcos Delgui</cp:lastModifiedBy>
  <dcterms:created xsi:type="dcterms:W3CDTF">2026-02-24T18:35:58Z</dcterms:created>
  <dcterms:modified xsi:type="dcterms:W3CDTF">2026-02-25T16:03:48Z</dcterms:modified>
</cp:coreProperties>
</file>